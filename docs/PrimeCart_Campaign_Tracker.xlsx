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057D8540-629E-4922-9377-771ED6252F39}" xr6:coauthVersionLast="47" xr6:coauthVersionMax="47" xr10:uidLastSave="{00000000-0000-0000-0000-000000000000}"/>
  <bookViews>
    <workbookView xWindow="-108" yWindow="-108" windowWidth="23256" windowHeight="12456" xr2:uid="{00000000-000D-0000-FFFF-FFFF00000000}"/>
  </bookViews>
  <sheets>
    <sheet name="Dashboard" sheetId="1" r:id="rId1"/>
    <sheet name="Contacts" sheetId="2" r:id="rId2"/>
    <sheet name="Weekly Tracker" sheetId="3" r:id="rId3"/>
    <sheet name="Channel Performance" sheetId="4" r:id="rId4"/>
    <sheet name="Scripts" sheetId="5" r:id="rId5"/>
  </sheets>
  <calcPr calcId="181029"/>
</workbook>
</file>

<file path=xl/calcChain.xml><?xml version="1.0" encoding="utf-8"?>
<calcChain xmlns="http://schemas.openxmlformats.org/spreadsheetml/2006/main">
  <c r="B13" i="4" l="1"/>
  <c r="E11" i="4"/>
  <c r="H11" i="4" s="1"/>
  <c r="D11" i="4"/>
  <c r="G11" i="4" s="1"/>
  <c r="C11" i="4"/>
  <c r="F11" i="4" s="1"/>
  <c r="B11" i="4"/>
  <c r="H10" i="4"/>
  <c r="E10" i="4"/>
  <c r="D10" i="4"/>
  <c r="G10" i="4" s="1"/>
  <c r="C10" i="4"/>
  <c r="F10" i="4" s="1"/>
  <c r="B10" i="4"/>
  <c r="G9" i="4"/>
  <c r="E9" i="4"/>
  <c r="H9" i="4" s="1"/>
  <c r="D9" i="4"/>
  <c r="C9" i="4"/>
  <c r="F9" i="4" s="1"/>
  <c r="B9" i="4"/>
  <c r="E8" i="4"/>
  <c r="H8" i="4" s="1"/>
  <c r="D8" i="4"/>
  <c r="G8" i="4" s="1"/>
  <c r="C8" i="4"/>
  <c r="B8" i="4"/>
  <c r="F8" i="4" s="1"/>
  <c r="E7" i="4"/>
  <c r="H7" i="4" s="1"/>
  <c r="D7" i="4"/>
  <c r="G7" i="4" s="1"/>
  <c r="C7" i="4"/>
  <c r="F7" i="4" s="1"/>
  <c r="B7" i="4"/>
  <c r="H6" i="4"/>
  <c r="E6" i="4"/>
  <c r="D6" i="4"/>
  <c r="G6" i="4" s="1"/>
  <c r="C6" i="4"/>
  <c r="F6" i="4" s="1"/>
  <c r="B6" i="4"/>
  <c r="G5" i="4"/>
  <c r="E5" i="4"/>
  <c r="E13" i="4" s="1"/>
  <c r="D5" i="4"/>
  <c r="D13" i="4" s="1"/>
  <c r="C5" i="4"/>
  <c r="F5" i="4" s="1"/>
  <c r="B5" i="4"/>
  <c r="H5" i="4" s="1"/>
  <c r="G8" i="3"/>
  <c r="I8" i="3" s="1"/>
  <c r="F8" i="3"/>
  <c r="E8" i="3"/>
  <c r="D8" i="3"/>
  <c r="C8" i="3"/>
  <c r="G7" i="3"/>
  <c r="I7" i="3" s="1"/>
  <c r="F7" i="3"/>
  <c r="E7" i="3"/>
  <c r="D7" i="3"/>
  <c r="C7" i="3"/>
  <c r="G6" i="3"/>
  <c r="I6" i="3" s="1"/>
  <c r="F6" i="3"/>
  <c r="E6" i="3"/>
  <c r="D6" i="3"/>
  <c r="C6" i="3"/>
  <c r="G5" i="3"/>
  <c r="I5" i="3" s="1"/>
  <c r="F5" i="3"/>
  <c r="E5" i="3"/>
  <c r="D5" i="3"/>
  <c r="D9" i="3" s="1"/>
  <c r="C5" i="3"/>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B30" i="1"/>
  <c r="B29" i="1"/>
  <c r="B28" i="1"/>
  <c r="B27" i="1"/>
  <c r="B26" i="1"/>
  <c r="B25" i="1"/>
  <c r="B24" i="1"/>
  <c r="B23" i="1"/>
  <c r="B20" i="1"/>
  <c r="B17" i="1"/>
  <c r="B16" i="1"/>
  <c r="B15" i="1"/>
  <c r="B14" i="1"/>
  <c r="B13" i="1"/>
  <c r="B10" i="1"/>
  <c r="B7" i="1"/>
  <c r="B6" i="1"/>
  <c r="B5" i="1"/>
  <c r="E9" i="3" l="1"/>
  <c r="F9" i="3"/>
  <c r="G9" i="3"/>
  <c r="C13" i="4"/>
</calcChain>
</file>

<file path=xl/sharedStrings.xml><?xml version="1.0" encoding="utf-8"?>
<sst xmlns="http://schemas.openxmlformats.org/spreadsheetml/2006/main" count="151" uniqueCount="114">
  <si>
    <t>PrimeCart — 30-Day Launch Tracker</t>
  </si>
  <si>
    <t>Zero-spend organic campaign · target: 10 active shops</t>
  </si>
  <si>
    <t>Campaign start date</t>
  </si>
  <si>
    <t>Campaign end date (day 30)</t>
  </si>
  <si>
    <t>Today</t>
  </si>
  <si>
    <t>Day of campaign</t>
  </si>
  <si>
    <t>Target activated shops</t>
  </si>
  <si>
    <t>Pace target as of today</t>
  </si>
  <si>
    <t>Live totals (pulled from Contacts sheet)</t>
  </si>
  <si>
    <t>Total contacts logged</t>
  </si>
  <si>
    <t>Replied</t>
  </si>
  <si>
    <t>Signed up (total)</t>
  </si>
  <si>
    <t>Activated (≥3 products + link shared)</t>
  </si>
  <si>
    <t>Activation rate (activated / contacts)</t>
  </si>
  <si>
    <t>Pace check</t>
  </si>
  <si>
    <t>Status</t>
  </si>
  <si>
    <t>Status breakdown</t>
  </si>
  <si>
    <t>New</t>
  </si>
  <si>
    <t>Contacted</t>
  </si>
  <si>
    <t>Follow-up sent</t>
  </si>
  <si>
    <t>Interested</t>
  </si>
  <si>
    <t>Signed up</t>
  </si>
  <si>
    <t>Activated</t>
  </si>
  <si>
    <t>Not interested</t>
  </si>
  <si>
    <t>Contacts</t>
  </si>
  <si>
    <t>One row per prospect. Log the date fields as they happen — the Dashboard and Weekly Tracker read from them.</t>
  </si>
  <si>
    <t>ID</t>
  </si>
  <si>
    <t>Date added</t>
  </si>
  <si>
    <t>Name</t>
  </si>
  <si>
    <t>Shop / business</t>
  </si>
  <si>
    <t>Category</t>
  </si>
  <si>
    <t>Platform</t>
  </si>
  <si>
    <t>Handle / number</t>
  </si>
  <si>
    <t>Source</t>
  </si>
  <si>
    <t>Date first replied</t>
  </si>
  <si>
    <t>Date signed up</t>
  </si>
  <si>
    <t>Date activated</t>
  </si>
  <si>
    <t>Products added</t>
  </si>
  <si>
    <t>Link shared? (Y/N)</t>
  </si>
  <si>
    <t>Referred by</t>
  </si>
  <si>
    <t>Last contact date</t>
  </si>
  <si>
    <t>Next action date</t>
  </si>
  <si>
    <t>Notes</t>
  </si>
  <si>
    <t>Kojo Mensah</t>
  </si>
  <si>
    <t>Mensah Phone World</t>
  </si>
  <si>
    <t>Phone accessories</t>
  </si>
  <si>
    <t>In-person</t>
  </si>
  <si>
    <t>+233 24 000 0000</t>
  </si>
  <si>
    <t>Market walk</t>
  </si>
  <si>
    <t/>
  </si>
  <si>
    <t>N</t>
  </si>
  <si>
    <t>Kantamanto stall 12, visit again Thu</t>
  </si>
  <si>
    <t>Ama Boateng</t>
  </si>
  <si>
    <t>Ama's Closet</t>
  </si>
  <si>
    <t>Fashion</t>
  </si>
  <si>
    <t>Instagram</t>
  </si>
  <si>
    <t>@amascloset</t>
  </si>
  <si>
    <t>Hashtag search</t>
  </si>
  <si>
    <t>Commented on her post first</t>
  </si>
  <si>
    <t>Weekly Tracker</t>
  </si>
  <si>
    <t>Mirrors the 30-day plan. Everything here is computed from the Contacts sheet — fill dates there, not here.</t>
  </si>
  <si>
    <t>Week</t>
  </si>
  <si>
    <t>Theme</t>
  </si>
  <si>
    <t>Date range</t>
  </si>
  <si>
    <t>Contacts added</t>
  </si>
  <si>
    <t>Activated (cumulative)</t>
  </si>
  <si>
    <t>Pace target</t>
  </si>
  <si>
    <t>On pace?</t>
  </si>
  <si>
    <t>Week 1</t>
  </si>
  <si>
    <t>Build the list, seed the story</t>
  </si>
  <si>
    <t>Week 2</t>
  </si>
  <si>
    <t>Direct outreach, round one</t>
  </si>
  <si>
    <t>Week 3</t>
  </si>
  <si>
    <t>Widen the net, chase warm leads</t>
  </si>
  <si>
    <t>Week 4</t>
  </si>
  <si>
    <t>Activate, don't just sign up</t>
  </si>
  <si>
    <t>Total</t>
  </si>
  <si>
    <t>Channel Performance</t>
  </si>
  <si>
    <t>Which platform is actually converting — computed live from Contacts.</t>
  </si>
  <si>
    <t>Reply rate</t>
  </si>
  <si>
    <t>Signup rate</t>
  </si>
  <si>
    <t>Activation rate</t>
  </si>
  <si>
    <t>WhatsApp</t>
  </si>
  <si>
    <t>Facebook</t>
  </si>
  <si>
    <t>TikTok</t>
  </si>
  <si>
    <t>Snapchat</t>
  </si>
  <si>
    <t>Referral</t>
  </si>
  <si>
    <t>Outreach Scripts</t>
  </si>
  <si>
    <t>Copy-paste reference, matched to each platform's norms. Full rationale lives in the campaign doc.</t>
  </si>
  <si>
    <t>Script</t>
  </si>
  <si>
    <t>Text</t>
  </si>
  <si>
    <t>First message</t>
  </si>
  <si>
    <t>Hi [Name] 👋 I saw your [phones/jewellery/clothes] on [Instagram/at your stall in Kantamanto] — really nice stock. I built something called PrimeCart — it gives you your own online shop (like yourname.primecart.app) where customers can browse and order, and it keeps your stock count updated automatically when something sells. It's free to try. Can I set up your first 3 products for you right now so you can see it working — takes 5 minutes?</t>
  </si>
  <si>
    <t>Follow-up (48h, no reply)</t>
  </si>
  <si>
    <t>Hey [Name], just following up in case this got buried 🙂 Happy to do the setup for you whenever's convenient — even a quick call works.</t>
  </si>
  <si>
    <t>Status caption</t>
  </si>
  <si>
    <t>Shop owners — tired of losing track of stock over DM? I'm helping a few [Accra] sellers set up a real online shop this week, free. Reply if you want yours 👆</t>
  </si>
  <si>
    <t>Comment on product post</t>
  </si>
  <si>
    <t>This [piece/bag/pair] is gorgeous 😍 quick q — do you take orders through a website or just DM? Sent you something that might save you time either way.</t>
  </si>
  <si>
    <t>DM (after commenting)</t>
  </si>
  <si>
    <t>Hey [Name]! Just left a comment on your [product] post — really nice. I build PrimeCart, a free online shop for sellers like you (yourname.primecart.app) that keeps stock updated automatically instead of tracking it over DMs. Want me to set up 3 of your products on it so you can see it live? Takes 5 minutes and costs nothing.</t>
  </si>
  <si>
    <t>Story reply</t>
  </si>
  <si>
    <t>This keeps happening because there's no stock count anywhere but your head 😅 I've got a free tool that fixes exactly this — mind if I show you?</t>
  </si>
  <si>
    <t>Marketplace comment/DM</t>
  </si>
  <si>
    <t>Hi, is this still available? Also — random q, do you sell online anywhere besides Marketplace? I run a free tool (PrimeCart) that gives sellers their own shop link and tracks stock automatically. Happy to set one up for you if useful.</t>
  </si>
  <si>
    <t>Group post (value-first)</t>
  </si>
  <si>
    <t>Small-business owners in here — quick tip: if you're taking orders over DM/WhatsApp, it's really easy to lose track of what's actually in stock. I built a free tool (PrimeCart) that gives you a simple online shop + auto stock updates. Not trying to sell anything, just dropping it here in case it's useful — comment or DM if you want to try it.</t>
  </si>
  <si>
    <t>Comment on video</t>
  </si>
  <si>
    <t>Wait this sold out that fast?? 😳 do you track stock by hand or is there a system? asking bc I might have something that helps</t>
  </si>
  <si>
    <t>DM (once mutual)</t>
  </si>
  <si>
    <t>Hey! Saw your video — I build PrimeCart, a free online shop for sellers that updates stock automatically when something sells, so no more guessing what's left. Want me to set up your first few products so you can see it? Takes 5 mins, free.</t>
  </si>
  <si>
    <t>Chat message</t>
  </si>
  <si>
    <t>heyy 👋 love what you're selling! quick one — you taking orders just through snap/whatsapp rn? got a free tool that gives you an actual shop link + tracks your stock for you, takes 5 min to set up if you want to try it 🙌</t>
  </si>
  <si>
    <t>okay this is fire 🔥 ngl a shop link would go crazy for this — want me to set one up for you free? takes like 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</si>
</sst>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7" x14ac:knownFonts="1">
    <font>
      <sz val="11"/>
      <color theme="1"/>
      <name val="Calibri"/>
      <family val="2"/>
      <scheme val="minor"/>
    </font>
    <font>
      <b/>
      <sz val="18"/>
      <color rgb="FF17193A"/>
      <name val="Calibri"/>
    </font>
    <font>
      <i/>
      <sz val="10.5"/>
      <color rgb="FF666990"/>
      <name val="Calibri"/>
    </font>
    <font>
      <b/>
      <sz val="11"/>
      <name val="Calibri"/>
    </font>
    <font>
      <b/>
      <sz val="11"/>
      <color rgb="FF8A6410"/>
      <name val="Calibri"/>
    </font>
    <font>
      <b/>
      <sz val="12"/>
      <color rgb="FF17193A"/>
      <name val="Calibri"/>
    </font>
    <font>
      <b/>
      <sz val="11"/>
      <color rgb="FFF4F2ED"/>
      <name val="Calibri"/>
    </font>
  </fonts>
  <fills count="5">
    <fill>
      <patternFill patternType="none"/>
    </fill>
    <fill>
      <patternFill patternType="gray125"/>
    </fill>
    <fill>
      <patternFill patternType="solid">
        <fgColor rgb="FFF6E8C8"/>
      </patternFill>
    </fill>
    <fill>
      <patternFill patternType="solid">
        <fgColor rgb="FF17193A"/>
      </patternFill>
    </fill>
    <fill>
      <patternFill patternType="solid">
        <fgColor rgb="FFF2F1EA"/>
      </patternFill>
    </fill>
  </fills>
  <borders count="3">
    <border>
      <left/>
      <right/>
      <top/>
      <bottom/>
      <diagonal/>
    </border>
    <border>
      <left/>
      <right/>
      <top/>
      <bottom style="thin">
        <color rgb="FFC9941F"/>
      </bottom>
      <diagonal/>
    </border>
    <border>
      <left/>
      <right/>
      <top style="thin">
        <color rgb="FF17193A"/>
      </top>
      <bottom/>
      <diagonal/>
    </border>
  </borders>
  <cellStyleXfs count="1">
    <xf numFmtId="0" fontId="0" fillId="0" borderId="0"/>
  </cellStyleXfs>
  <cellXfs count="19">
    <xf numFmtId="0" fontId="0" fillId="0" borderId="0" xfId="0"/>
    <xf numFmtId="0" fontId="3" fillId="0" borderId="0" xfId="0" applyFont="1"/>
    <xf numFmtId="164" fontId="4" fillId="2" borderId="0" xfId="0" applyNumberFormat="1" applyFont="1" applyFill="1"/>
    <xf numFmtId="164" fontId="0" fillId="0" borderId="0" xfId="0" applyNumberFormat="1"/>
    <xf numFmtId="0" fontId="0" fillId="0" borderId="0" xfId="0" applyAlignment="1">
      <alignment horizontal="left"/>
    </xf>
    <xf numFmtId="0" fontId="5" fillId="0" borderId="0" xfId="0" applyFont="1"/>
    <xf numFmtId="0" fontId="4" fillId="0" borderId="0" xfId="0" applyFont="1"/>
    <xf numFmtId="9" fontId="4" fillId="0" borderId="0" xfId="0" applyNumberFormat="1" applyFont="1"/>
    <xf numFmtId="0" fontId="6" fillId="3" borderId="1" xfId="0" applyFont="1" applyFill="1" applyBorder="1" applyAlignment="1">
      <alignment horizontal="left" vertical="center" wrapText="1"/>
    </xf>
    <xf numFmtId="0" fontId="0" fillId="4" borderId="0" xfId="0" applyFill="1"/>
    <xf numFmtId="164" fontId="0" fillId="4" borderId="0" xfId="0" applyNumberFormat="1" applyFill="1"/>
    <xf numFmtId="0" fontId="3" fillId="4" borderId="0" xfId="0" applyFont="1" applyFill="1"/>
    <xf numFmtId="0" fontId="3" fillId="0" borderId="2" xfId="0" applyFont="1" applyBorder="1"/>
    <xf numFmtId="9" fontId="0" fillId="0" borderId="0" xfId="0" applyNumberFormat="1"/>
    <xf numFmtId="9" fontId="0" fillId="4" borderId="0" xfId="0" applyNumberFormat="1" applyFill="1"/>
    <xf numFmtId="0" fontId="0" fillId="0" borderId="0" xfId="0" applyAlignment="1">
      <alignment vertical="top" wrapText="1"/>
    </xf>
    <xf numFmtId="0" fontId="0" fillId="4" borderId="0" xfId="0" applyFill="1" applyAlignment="1">
      <alignment vertical="top" wrapText="1"/>
    </xf>
    <xf numFmtId="0" fontId="1" fillId="0" borderId="0" xfId="0" applyFont="1"/>
    <xf numFmtId="0" fontId="2" fillId="0" borderId="0" xfId="0" applyFont="1"/>
  </cellXfs>
  <cellStyles count="1">
    <cellStyle name="Normal" xfId="0" builtinId="0"/>
  </cellStyles>
  <dxfs count="5">
    <dxf>
      <font>
        <color rgb="FF8F2E24"/>
      </font>
      <fill>
        <patternFill patternType="solid">
          <bgColor rgb="FFF6DAD6"/>
        </patternFill>
      </fill>
    </dxf>
    <dxf>
      <font>
        <color rgb="FF8A6410"/>
      </font>
      <fill>
        <patternFill patternType="solid">
          <bgColor rgb="FFF6E8C8"/>
        </patternFill>
      </fill>
    </dxf>
    <dxf>
      <font>
        <color rgb="FF8A6410"/>
      </font>
      <fill>
        <patternFill patternType="solid">
          <bgColor rgb="FFF6E8C8"/>
        </patternFill>
      </fill>
    </dxf>
    <dxf>
      <font>
        <color rgb="FF1E5A3F"/>
      </font>
      <fill>
        <patternFill patternType="solid">
          <bgColor rgb="FFDCEEE3"/>
        </patternFill>
      </fill>
    </dxf>
    <dxf>
      <font>
        <b/>
        <color rgb="FF1E5A3F"/>
      </font>
      <fill>
        <patternFill patternType="solid">
          <bgColor rgb="FFDCEE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193A"/>
  </sheetPr>
  <dimension ref="A1:E30"/>
  <sheetViews>
    <sheetView tabSelected="1" workbookViewId="0">
      <selection activeCell="B5" sqref="B5"/>
    </sheetView>
  </sheetViews>
  <sheetFormatPr defaultRowHeight="14.4" x14ac:dyDescent="0.3"/>
  <cols>
    <col min="1" max="1" width="26" customWidth="1"/>
    <col min="2" max="2" width="20" customWidth="1"/>
    <col min="3" max="3" width="4" customWidth="1"/>
    <col min="4" max="4" width="26" customWidth="1"/>
    <col min="5" max="5" width="20" customWidth="1"/>
  </cols>
  <sheetData>
    <row r="1" spans="1:5" ht="22.35" customHeight="1" x14ac:dyDescent="0.45">
      <c r="A1" s="17" t="s">
        <v>0</v>
      </c>
      <c r="B1" s="17"/>
      <c r="C1" s="17"/>
      <c r="D1" s="17"/>
      <c r="E1" s="17"/>
    </row>
    <row r="2" spans="1:5" ht="14.4" customHeight="1" x14ac:dyDescent="0.3">
      <c r="A2" s="18" t="s">
        <v>1</v>
      </c>
      <c r="B2" s="18"/>
      <c r="C2" s="18"/>
      <c r="D2" s="18"/>
      <c r="E2" s="18"/>
    </row>
    <row r="4" spans="1:5" ht="14.4" customHeight="1" x14ac:dyDescent="0.3">
      <c r="A4" s="1" t="s">
        <v>2</v>
      </c>
      <c r="B4" s="2">
        <v>46259.333333333336</v>
      </c>
    </row>
    <row r="5" spans="1:5" ht="14.4" customHeight="1" x14ac:dyDescent="0.3">
      <c r="A5" s="1" t="s">
        <v>3</v>
      </c>
      <c r="B5" s="3">
        <f>B4+29</f>
        <v>46288.333333333336</v>
      </c>
    </row>
    <row r="6" spans="1:5" ht="14.4" customHeight="1" x14ac:dyDescent="0.3">
      <c r="A6" s="1" t="s">
        <v>4</v>
      </c>
      <c r="B6" s="3">
        <f ca="1">TODAY()</f>
        <v>46258</v>
      </c>
    </row>
    <row r="7" spans="1:5" ht="14.4" customHeight="1" x14ac:dyDescent="0.3">
      <c r="A7" s="1" t="s">
        <v>5</v>
      </c>
      <c r="B7" s="4" t="str">
        <f ca="1">MIN(MAX(TODAY()-B4+1,0),30)&amp;" / 30"</f>
        <v>0 / 30</v>
      </c>
    </row>
    <row r="9" spans="1:5" ht="14.4" customHeight="1" x14ac:dyDescent="0.3">
      <c r="A9" s="1" t="s">
        <v>6</v>
      </c>
      <c r="B9">
        <v>10</v>
      </c>
    </row>
    <row r="10" spans="1:5" ht="14.4" customHeight="1" x14ac:dyDescent="0.3">
      <c r="A10" s="1" t="s">
        <v>7</v>
      </c>
      <c r="B10">
        <f ca="1">ROUND(MIN(MAX(TODAY()-B4+1,0),30)/30*B9,1)</f>
        <v>0</v>
      </c>
    </row>
    <row r="12" spans="1:5" ht="15.6" x14ac:dyDescent="0.3">
      <c r="A12" s="5" t="s">
        <v>8</v>
      </c>
    </row>
    <row r="13" spans="1:5" x14ac:dyDescent="0.3">
      <c r="A13" t="s">
        <v>9</v>
      </c>
      <c r="B13" s="6">
        <f>COUNTA(Contacts!C4:C500)</f>
        <v>2</v>
      </c>
    </row>
    <row r="14" spans="1:5" x14ac:dyDescent="0.3">
      <c r="A14" t="s">
        <v>10</v>
      </c>
      <c r="B14" s="6">
        <f>COUNTIFS(Contacts!I4:I500,"Replied")+COUNTIFS(Contacts!I4:I500,"Interested")+COUNTIFS(Contacts!I4:I500,"Signed up")+COUNTIFS(Contacts!I4:I500,"Activated")</f>
        <v>1</v>
      </c>
    </row>
    <row r="15" spans="1:5" x14ac:dyDescent="0.3">
      <c r="A15" t="s">
        <v>11</v>
      </c>
      <c r="B15" s="6">
        <f>COUNTA(Contacts!K4:K500)</f>
        <v>2</v>
      </c>
    </row>
    <row r="16" spans="1:5" x14ac:dyDescent="0.3">
      <c r="A16" t="s">
        <v>12</v>
      </c>
      <c r="B16" s="6">
        <f>COUNTA(Contacts!L4:L500)</f>
        <v>2</v>
      </c>
    </row>
    <row r="17" spans="1:2" x14ac:dyDescent="0.3">
      <c r="A17" t="s">
        <v>13</v>
      </c>
      <c r="B17" s="7">
        <f>IFERROR(COUNTA(Contacts!L4:L500)/COUNTA(Contacts!C4:C500),0)</f>
        <v>1</v>
      </c>
    </row>
    <row r="19" spans="1:2" ht="15.6" x14ac:dyDescent="0.3">
      <c r="A19" s="5" t="s">
        <v>14</v>
      </c>
    </row>
    <row r="20" spans="1:2" x14ac:dyDescent="0.3">
      <c r="A20" t="s">
        <v>15</v>
      </c>
      <c r="B20" s="1" t="str">
        <f ca="1">IF(COUNTA(Contacts!L4:L500)&gt;=B10,"On pace","Behind pace")</f>
        <v>On pace</v>
      </c>
    </row>
    <row r="22" spans="1:2" ht="15.6" x14ac:dyDescent="0.3">
      <c r="A22" s="5" t="s">
        <v>16</v>
      </c>
    </row>
    <row r="23" spans="1:2" x14ac:dyDescent="0.3">
      <c r="A23" t="s">
        <v>17</v>
      </c>
      <c r="B23">
        <f>COUNTIF(Contacts!I4:I500,"New")</f>
        <v>0</v>
      </c>
    </row>
    <row r="24" spans="1:2" x14ac:dyDescent="0.3">
      <c r="A24" t="s">
        <v>18</v>
      </c>
      <c r="B24">
        <f>COUNTIF(Contacts!I4:I500,"Contacted")</f>
        <v>1</v>
      </c>
    </row>
    <row r="25" spans="1:2" x14ac:dyDescent="0.3">
      <c r="A25" t="s">
        <v>19</v>
      </c>
      <c r="B25">
        <f>COUNTIF(Contacts!I4:I500,"Follow-up sent")</f>
        <v>0</v>
      </c>
    </row>
    <row r="26" spans="1:2" x14ac:dyDescent="0.3">
      <c r="A26" t="s">
        <v>10</v>
      </c>
      <c r="B26">
        <f>COUNTIF(Contacts!I4:I500,"Replied")</f>
        <v>1</v>
      </c>
    </row>
    <row r="27" spans="1:2" x14ac:dyDescent="0.3">
      <c r="A27" t="s">
        <v>20</v>
      </c>
      <c r="B27">
        <f>COUNTIF(Contacts!I4:I500,"Interested")</f>
        <v>0</v>
      </c>
    </row>
    <row r="28" spans="1:2" x14ac:dyDescent="0.3">
      <c r="A28" t="s">
        <v>21</v>
      </c>
      <c r="B28">
        <f>COUNTIF(Contacts!I4:I500,"Signed up")</f>
        <v>0</v>
      </c>
    </row>
    <row r="29" spans="1:2" x14ac:dyDescent="0.3">
      <c r="A29" t="s">
        <v>22</v>
      </c>
      <c r="B29">
        <f>COUNTIF(Contacts!I4:I500,"Activated")</f>
        <v>0</v>
      </c>
    </row>
    <row r="30" spans="1:2" x14ac:dyDescent="0.3">
      <c r="A30" t="s">
        <v>23</v>
      </c>
      <c r="B30">
        <f>COUNTIF(Contacts!I4:I500,"Not interested")</f>
        <v>0</v>
      </c>
    </row>
  </sheetData>
  <mergeCells count="2">
    <mergeCell ref="A1:E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941F"/>
  </sheetPr>
  <dimension ref="A1:R400"/>
  <sheetViews>
    <sheetView workbookViewId="0">
      <pane ySplit="3" topLeftCell="A4" activePane="bottomLeft" state="frozen"/>
      <selection pane="bottomLeft" sqref="A1:R1"/>
    </sheetView>
  </sheetViews>
  <sheetFormatPr defaultRowHeight="14.4" x14ac:dyDescent="0.3"/>
  <cols>
    <col min="1" max="1" width="6" customWidth="1"/>
    <col min="2" max="2" width="13" customWidth="1"/>
    <col min="3" max="3" width="20" customWidth="1"/>
    <col min="4" max="4" width="22" customWidth="1"/>
    <col min="5" max="5" width="18" customWidth="1"/>
    <col min="6" max="6" width="14" customWidth="1"/>
    <col min="7" max="7" width="20" customWidth="1"/>
    <col min="8" max="8" width="18" customWidth="1"/>
    <col min="9" max="9" width="16" customWidth="1"/>
    <col min="10" max="12" width="15" customWidth="1"/>
    <col min="13" max="13" width="13" customWidth="1"/>
    <col min="14" max="14" width="15" customWidth="1"/>
    <col min="15" max="15" width="16" customWidth="1"/>
    <col min="16" max="17" width="15" customWidth="1"/>
    <col min="18" max="18" width="34" customWidth="1"/>
  </cols>
  <sheetData>
    <row r="1" spans="1:18" ht="28.05" customHeight="1" x14ac:dyDescent="0.45">
      <c r="A1" s="17" t="s">
        <v>24</v>
      </c>
      <c r="B1" s="17"/>
      <c r="C1" s="17"/>
      <c r="D1" s="17"/>
      <c r="E1" s="17"/>
      <c r="F1" s="17"/>
      <c r="G1" s="17"/>
      <c r="H1" s="17"/>
      <c r="I1" s="17"/>
      <c r="J1" s="17"/>
      <c r="K1" s="17"/>
      <c r="L1" s="17"/>
      <c r="M1" s="17"/>
      <c r="N1" s="17"/>
      <c r="O1" s="17"/>
      <c r="P1" s="17"/>
      <c r="Q1" s="17"/>
      <c r="R1" s="17"/>
    </row>
    <row r="2" spans="1:18" ht="18" customHeight="1" x14ac:dyDescent="0.3">
      <c r="A2" s="18" t="s">
        <v>25</v>
      </c>
      <c r="B2" s="18"/>
      <c r="C2" s="18"/>
      <c r="D2" s="18"/>
      <c r="E2" s="18"/>
      <c r="F2" s="18"/>
      <c r="G2" s="18"/>
      <c r="H2" s="18"/>
      <c r="I2" s="18"/>
      <c r="J2" s="18"/>
      <c r="K2" s="18"/>
      <c r="L2" s="18"/>
      <c r="M2" s="18"/>
      <c r="N2" s="18"/>
      <c r="O2" s="18"/>
      <c r="P2" s="18"/>
      <c r="Q2" s="18"/>
      <c r="R2" s="18"/>
    </row>
    <row r="3" spans="1:18" ht="25.95" customHeight="1" x14ac:dyDescent="0.3">
      <c r="A3" s="8" t="s">
        <v>26</v>
      </c>
      <c r="B3" s="8" t="s">
        <v>27</v>
      </c>
      <c r="C3" s="8" t="s">
        <v>28</v>
      </c>
      <c r="D3" s="8" t="s">
        <v>29</v>
      </c>
      <c r="E3" s="8" t="s">
        <v>30</v>
      </c>
      <c r="F3" s="8" t="s">
        <v>31</v>
      </c>
      <c r="G3" s="8" t="s">
        <v>32</v>
      </c>
      <c r="H3" s="8" t="s">
        <v>33</v>
      </c>
      <c r="I3" s="8" t="s">
        <v>15</v>
      </c>
      <c r="J3" s="8" t="s">
        <v>34</v>
      </c>
      <c r="K3" s="8" t="s">
        <v>35</v>
      </c>
      <c r="L3" s="8" t="s">
        <v>36</v>
      </c>
      <c r="M3" s="8" t="s">
        <v>37</v>
      </c>
      <c r="N3" s="8" t="s">
        <v>38</v>
      </c>
      <c r="O3" s="8" t="s">
        <v>39</v>
      </c>
      <c r="P3" s="8" t="s">
        <v>40</v>
      </c>
      <c r="Q3" s="8" t="s">
        <v>41</v>
      </c>
      <c r="R3" s="8" t="s">
        <v>42</v>
      </c>
    </row>
    <row r="4" spans="1:18" x14ac:dyDescent="0.3">
      <c r="A4">
        <v>1</v>
      </c>
      <c r="B4" s="3">
        <v>46258.832747418986</v>
      </c>
      <c r="C4" t="s">
        <v>43</v>
      </c>
      <c r="D4" t="s">
        <v>44</v>
      </c>
      <c r="E4" t="s">
        <v>45</v>
      </c>
      <c r="F4" t="s">
        <v>46</v>
      </c>
      <c r="G4" t="s">
        <v>47</v>
      </c>
      <c r="H4" t="s">
        <v>48</v>
      </c>
      <c r="I4" t="s">
        <v>18</v>
      </c>
      <c r="J4" s="3" t="s">
        <v>49</v>
      </c>
      <c r="K4" s="3" t="s">
        <v>49</v>
      </c>
      <c r="L4" s="3" t="s">
        <v>49</v>
      </c>
      <c r="M4">
        <v>0</v>
      </c>
      <c r="N4" t="s">
        <v>50</v>
      </c>
      <c r="O4" t="s">
        <v>49</v>
      </c>
      <c r="P4" s="3">
        <v>46258.832747418986</v>
      </c>
      <c r="Q4" s="3" t="s">
        <v>49</v>
      </c>
      <c r="R4" t="s">
        <v>51</v>
      </c>
    </row>
    <row r="5" spans="1:18" x14ac:dyDescent="0.3">
      <c r="A5" s="9">
        <v>2</v>
      </c>
      <c r="B5" s="10">
        <v>46258.832747418986</v>
      </c>
      <c r="C5" s="9" t="s">
        <v>52</v>
      </c>
      <c r="D5" s="9" t="s">
        <v>53</v>
      </c>
      <c r="E5" s="9" t="s">
        <v>54</v>
      </c>
      <c r="F5" s="9" t="s">
        <v>55</v>
      </c>
      <c r="G5" s="9" t="s">
        <v>56</v>
      </c>
      <c r="H5" s="9" t="s">
        <v>57</v>
      </c>
      <c r="I5" s="9" t="s">
        <v>10</v>
      </c>
      <c r="J5" s="10">
        <v>46258.832747418986</v>
      </c>
      <c r="K5" s="10" t="s">
        <v>49</v>
      </c>
      <c r="L5" s="10" t="s">
        <v>49</v>
      </c>
      <c r="M5" s="9">
        <v>0</v>
      </c>
      <c r="N5" s="9" t="s">
        <v>50</v>
      </c>
      <c r="O5" s="9" t="s">
        <v>49</v>
      </c>
      <c r="P5" s="10">
        <v>46258.832747418986</v>
      </c>
      <c r="Q5" s="10" t="s">
        <v>49</v>
      </c>
      <c r="R5" s="9" t="s">
        <v>58</v>
      </c>
    </row>
    <row r="6" spans="1:18" x14ac:dyDescent="0.3">
      <c r="A6" t="str">
        <f>IF(C6="","",COUNTA($C$4:C6))</f>
        <v/>
      </c>
      <c r="B6" s="3"/>
      <c r="J6" s="3"/>
      <c r="K6" s="3"/>
      <c r="L6" s="3"/>
      <c r="P6" s="3"/>
      <c r="Q6" s="3"/>
    </row>
    <row r="7" spans="1:18" x14ac:dyDescent="0.3">
      <c r="A7" s="9" t="str">
        <f>IF(C7="","",COUNTA($C$4:C7))</f>
        <v/>
      </c>
      <c r="B7" s="10"/>
      <c r="C7" s="9"/>
      <c r="D7" s="9"/>
      <c r="E7" s="9"/>
      <c r="F7" s="9"/>
      <c r="G7" s="9"/>
      <c r="H7" s="9"/>
      <c r="I7" s="9"/>
      <c r="J7" s="10"/>
      <c r="K7" s="10"/>
      <c r="L7" s="10"/>
      <c r="M7" s="9"/>
      <c r="N7" s="9"/>
      <c r="O7" s="9"/>
      <c r="P7" s="10"/>
      <c r="Q7" s="10"/>
      <c r="R7" s="9"/>
    </row>
    <row r="8" spans="1:18" x14ac:dyDescent="0.3">
      <c r="A8" t="str">
        <f>IF(C8="","",COUNTA($C$4:C8))</f>
        <v/>
      </c>
      <c r="B8" s="3"/>
      <c r="J8" s="3"/>
      <c r="K8" s="3"/>
      <c r="L8" s="3"/>
      <c r="P8" s="3"/>
      <c r="Q8" s="3"/>
    </row>
    <row r="9" spans="1:18" x14ac:dyDescent="0.3">
      <c r="A9" s="9" t="str">
        <f>IF(C9="","",COUNTA($C$4:C9))</f>
        <v/>
      </c>
      <c r="B9" s="10"/>
      <c r="C9" s="9"/>
      <c r="D9" s="9"/>
      <c r="E9" s="9"/>
      <c r="F9" s="9"/>
      <c r="G9" s="9"/>
      <c r="H9" s="9"/>
      <c r="I9" s="9"/>
      <c r="J9" s="10"/>
      <c r="K9" s="10"/>
      <c r="L9" s="10"/>
      <c r="M9" s="9"/>
      <c r="N9" s="9"/>
      <c r="O9" s="9"/>
      <c r="P9" s="10"/>
      <c r="Q9" s="10"/>
      <c r="R9" s="9"/>
    </row>
    <row r="10" spans="1:18" x14ac:dyDescent="0.3">
      <c r="A10" t="str">
        <f>IF(C10="","",COUNTA($C$4:C10))</f>
        <v/>
      </c>
      <c r="B10" s="3"/>
      <c r="J10" s="3"/>
      <c r="K10" s="3"/>
      <c r="L10" s="3"/>
      <c r="P10" s="3"/>
      <c r="Q10" s="3"/>
    </row>
    <row r="11" spans="1:18" x14ac:dyDescent="0.3">
      <c r="A11" s="9" t="str">
        <f>IF(C11="","",COUNTA($C$4:C11))</f>
        <v/>
      </c>
      <c r="B11" s="10"/>
      <c r="C11" s="9"/>
      <c r="D11" s="9"/>
      <c r="E11" s="9"/>
      <c r="F11" s="9"/>
      <c r="G11" s="9"/>
      <c r="H11" s="9"/>
      <c r="I11" s="9"/>
      <c r="J11" s="10"/>
      <c r="K11" s="10"/>
      <c r="L11" s="10"/>
      <c r="M11" s="9"/>
      <c r="N11" s="9"/>
      <c r="O11" s="9"/>
      <c r="P11" s="10"/>
      <c r="Q11" s="10"/>
      <c r="R11" s="9"/>
    </row>
    <row r="12" spans="1:18" x14ac:dyDescent="0.3">
      <c r="A12" t="str">
        <f>IF(C12="","",COUNTA($C$4:C12))</f>
        <v/>
      </c>
      <c r="B12" s="3"/>
      <c r="J12" s="3"/>
      <c r="K12" s="3"/>
      <c r="L12" s="3"/>
      <c r="P12" s="3"/>
      <c r="Q12" s="3"/>
    </row>
    <row r="13" spans="1:18" x14ac:dyDescent="0.3">
      <c r="A13" s="9" t="str">
        <f>IF(C13="","",COUNTA($C$4:C13))</f>
        <v/>
      </c>
      <c r="B13" s="10"/>
      <c r="C13" s="9"/>
      <c r="D13" s="9"/>
      <c r="E13" s="9"/>
      <c r="F13" s="9"/>
      <c r="G13" s="9"/>
      <c r="H13" s="9"/>
      <c r="I13" s="9"/>
      <c r="J13" s="10"/>
      <c r="K13" s="10"/>
      <c r="L13" s="10"/>
      <c r="M13" s="9"/>
      <c r="N13" s="9"/>
      <c r="O13" s="9"/>
      <c r="P13" s="10"/>
      <c r="Q13" s="10"/>
      <c r="R13" s="9"/>
    </row>
    <row r="14" spans="1:18" x14ac:dyDescent="0.3">
      <c r="A14" t="str">
        <f>IF(C14="","",COUNTA($C$4:C14))</f>
        <v/>
      </c>
      <c r="B14" s="3"/>
      <c r="J14" s="3"/>
      <c r="K14" s="3"/>
      <c r="L14" s="3"/>
      <c r="P14" s="3"/>
      <c r="Q14" s="3"/>
    </row>
    <row r="15" spans="1:18" x14ac:dyDescent="0.3">
      <c r="A15" s="9" t="str">
        <f>IF(C15="","",COUNTA($C$4:C15))</f>
        <v/>
      </c>
      <c r="B15" s="10"/>
      <c r="C15" s="9"/>
      <c r="D15" s="9"/>
      <c r="E15" s="9"/>
      <c r="F15" s="9"/>
      <c r="G15" s="9"/>
      <c r="H15" s="9"/>
      <c r="I15" s="9"/>
      <c r="J15" s="10"/>
      <c r="K15" s="10"/>
      <c r="L15" s="10"/>
      <c r="M15" s="9"/>
      <c r="N15" s="9"/>
      <c r="O15" s="9"/>
      <c r="P15" s="10"/>
      <c r="Q15" s="10"/>
      <c r="R15" s="9"/>
    </row>
    <row r="16" spans="1:18" x14ac:dyDescent="0.3">
      <c r="A16" t="str">
        <f>IF(C16="","",COUNTA($C$4:C16))</f>
        <v/>
      </c>
      <c r="B16" s="3"/>
      <c r="J16" s="3"/>
      <c r="K16" s="3"/>
      <c r="L16" s="3"/>
      <c r="P16" s="3"/>
      <c r="Q16" s="3"/>
    </row>
    <row r="17" spans="1:18" x14ac:dyDescent="0.3">
      <c r="A17" s="9" t="str">
        <f>IF(C17="","",COUNTA($C$4:C17))</f>
        <v/>
      </c>
      <c r="B17" s="10"/>
      <c r="C17" s="9"/>
      <c r="D17" s="9"/>
      <c r="E17" s="9"/>
      <c r="F17" s="9"/>
      <c r="G17" s="9"/>
      <c r="H17" s="9"/>
      <c r="I17" s="9"/>
      <c r="J17" s="10"/>
      <c r="K17" s="10"/>
      <c r="L17" s="10"/>
      <c r="M17" s="9"/>
      <c r="N17" s="9"/>
      <c r="O17" s="9"/>
      <c r="P17" s="10"/>
      <c r="Q17" s="10"/>
      <c r="R17" s="9"/>
    </row>
    <row r="18" spans="1:18" x14ac:dyDescent="0.3">
      <c r="A18" t="str">
        <f>IF(C18="","",COUNTA($C$4:C18))</f>
        <v/>
      </c>
      <c r="B18" s="3"/>
      <c r="J18" s="3"/>
      <c r="K18" s="3"/>
      <c r="L18" s="3"/>
      <c r="P18" s="3"/>
      <c r="Q18" s="3"/>
    </row>
    <row r="19" spans="1:18" x14ac:dyDescent="0.3">
      <c r="A19" s="9" t="str">
        <f>IF(C19="","",COUNTA($C$4:C19))</f>
        <v/>
      </c>
      <c r="B19" s="10"/>
      <c r="C19" s="9"/>
      <c r="D19" s="9"/>
      <c r="E19" s="9"/>
      <c r="F19" s="9"/>
      <c r="G19" s="9"/>
      <c r="H19" s="9"/>
      <c r="I19" s="9"/>
      <c r="J19" s="10"/>
      <c r="K19" s="10"/>
      <c r="L19" s="10"/>
      <c r="M19" s="9"/>
      <c r="N19" s="9"/>
      <c r="O19" s="9"/>
      <c r="P19" s="10"/>
      <c r="Q19" s="10"/>
      <c r="R19" s="9"/>
    </row>
    <row r="20" spans="1:18" x14ac:dyDescent="0.3">
      <c r="A20" t="str">
        <f>IF(C20="","",COUNTA($C$4:C20))</f>
        <v/>
      </c>
      <c r="B20" s="3"/>
      <c r="J20" s="3"/>
      <c r="K20" s="3"/>
      <c r="L20" s="3"/>
      <c r="P20" s="3"/>
      <c r="Q20" s="3"/>
    </row>
    <row r="21" spans="1:18" x14ac:dyDescent="0.3">
      <c r="A21" s="9" t="str">
        <f>IF(C21="","",COUNTA($C$4:C21))</f>
        <v/>
      </c>
      <c r="B21" s="10"/>
      <c r="C21" s="9"/>
      <c r="D21" s="9"/>
      <c r="E21" s="9"/>
      <c r="F21" s="9"/>
      <c r="G21" s="9"/>
      <c r="H21" s="9"/>
      <c r="I21" s="9"/>
      <c r="J21" s="10"/>
      <c r="K21" s="10"/>
      <c r="L21" s="10"/>
      <c r="M21" s="9"/>
      <c r="N21" s="9"/>
      <c r="O21" s="9"/>
      <c r="P21" s="10"/>
      <c r="Q21" s="10"/>
      <c r="R21" s="9"/>
    </row>
    <row r="22" spans="1:18" x14ac:dyDescent="0.3">
      <c r="A22" t="str">
        <f>IF(C22="","",COUNTA($C$4:C22))</f>
        <v/>
      </c>
      <c r="B22" s="3"/>
      <c r="J22" s="3"/>
      <c r="K22" s="3"/>
      <c r="L22" s="3"/>
      <c r="P22" s="3"/>
      <c r="Q22" s="3"/>
    </row>
    <row r="23" spans="1:18" x14ac:dyDescent="0.3">
      <c r="A23" s="9" t="str">
        <f>IF(C23="","",COUNTA($C$4:C23))</f>
        <v/>
      </c>
      <c r="B23" s="10"/>
      <c r="C23" s="9"/>
      <c r="D23" s="9"/>
      <c r="E23" s="9"/>
      <c r="F23" s="9"/>
      <c r="G23" s="9"/>
      <c r="H23" s="9"/>
      <c r="I23" s="9"/>
      <c r="J23" s="10"/>
      <c r="K23" s="10"/>
      <c r="L23" s="10"/>
      <c r="M23" s="9"/>
      <c r="N23" s="9"/>
      <c r="O23" s="9"/>
      <c r="P23" s="10"/>
      <c r="Q23" s="10"/>
      <c r="R23" s="9"/>
    </row>
    <row r="24" spans="1:18" x14ac:dyDescent="0.3">
      <c r="A24" t="str">
        <f>IF(C24="","",COUNTA($C$4:C24))</f>
        <v/>
      </c>
      <c r="B24" s="3"/>
      <c r="J24" s="3"/>
      <c r="K24" s="3"/>
      <c r="L24" s="3"/>
      <c r="P24" s="3"/>
      <c r="Q24" s="3"/>
    </row>
    <row r="25" spans="1:18" x14ac:dyDescent="0.3">
      <c r="A25" s="9" t="str">
        <f>IF(C25="","",COUNTA($C$4:C25))</f>
        <v/>
      </c>
      <c r="B25" s="10"/>
      <c r="C25" s="9"/>
      <c r="D25" s="9"/>
      <c r="E25" s="9"/>
      <c r="F25" s="9"/>
      <c r="G25" s="9"/>
      <c r="H25" s="9"/>
      <c r="I25" s="9"/>
      <c r="J25" s="10"/>
      <c r="K25" s="10"/>
      <c r="L25" s="10"/>
      <c r="M25" s="9"/>
      <c r="N25" s="9"/>
      <c r="O25" s="9"/>
      <c r="P25" s="10"/>
      <c r="Q25" s="10"/>
      <c r="R25" s="9"/>
    </row>
    <row r="26" spans="1:18" x14ac:dyDescent="0.3">
      <c r="A26" t="str">
        <f>IF(C26="","",COUNTA($C$4:C26))</f>
        <v/>
      </c>
      <c r="B26" s="3"/>
      <c r="J26" s="3"/>
      <c r="K26" s="3"/>
      <c r="L26" s="3"/>
      <c r="P26" s="3"/>
      <c r="Q26" s="3"/>
    </row>
    <row r="27" spans="1:18" x14ac:dyDescent="0.3">
      <c r="A27" s="9" t="str">
        <f>IF(C27="","",COUNTA($C$4:C27))</f>
        <v/>
      </c>
      <c r="B27" s="10"/>
      <c r="C27" s="9"/>
      <c r="D27" s="9"/>
      <c r="E27" s="9"/>
      <c r="F27" s="9"/>
      <c r="G27" s="9"/>
      <c r="H27" s="9"/>
      <c r="I27" s="9"/>
      <c r="J27" s="10"/>
      <c r="K27" s="10"/>
      <c r="L27" s="10"/>
      <c r="M27" s="9"/>
      <c r="N27" s="9"/>
      <c r="O27" s="9"/>
      <c r="P27" s="10"/>
      <c r="Q27" s="10"/>
      <c r="R27" s="9"/>
    </row>
    <row r="28" spans="1:18" x14ac:dyDescent="0.3">
      <c r="A28" t="str">
        <f>IF(C28="","",COUNTA($C$4:C28))</f>
        <v/>
      </c>
      <c r="B28" s="3"/>
      <c r="J28" s="3"/>
      <c r="K28" s="3"/>
      <c r="L28" s="3"/>
      <c r="P28" s="3"/>
      <c r="Q28" s="3"/>
    </row>
    <row r="29" spans="1:18" x14ac:dyDescent="0.3">
      <c r="A29" s="9" t="str">
        <f>IF(C29="","",COUNTA($C$4:C29))</f>
        <v/>
      </c>
      <c r="B29" s="10"/>
      <c r="C29" s="9"/>
      <c r="D29" s="9"/>
      <c r="E29" s="9"/>
      <c r="F29" s="9"/>
      <c r="G29" s="9"/>
      <c r="H29" s="9"/>
      <c r="I29" s="9"/>
      <c r="J29" s="10"/>
      <c r="K29" s="10"/>
      <c r="L29" s="10"/>
      <c r="M29" s="9"/>
      <c r="N29" s="9"/>
      <c r="O29" s="9"/>
      <c r="P29" s="10"/>
      <c r="Q29" s="10"/>
      <c r="R29" s="9"/>
    </row>
    <row r="30" spans="1:18" x14ac:dyDescent="0.3">
      <c r="A30" t="str">
        <f>IF(C30="","",COUNTA($C$4:C30))</f>
        <v/>
      </c>
      <c r="B30" s="3"/>
      <c r="J30" s="3"/>
      <c r="K30" s="3"/>
      <c r="L30" s="3"/>
      <c r="P30" s="3"/>
      <c r="Q30" s="3"/>
    </row>
    <row r="31" spans="1:18" x14ac:dyDescent="0.3">
      <c r="A31" s="9" t="str">
        <f>IF(C31="","",COUNTA($C$4:C31))</f>
        <v/>
      </c>
      <c r="B31" s="10"/>
      <c r="C31" s="9"/>
      <c r="D31" s="9"/>
      <c r="E31" s="9"/>
      <c r="F31" s="9"/>
      <c r="G31" s="9"/>
      <c r="H31" s="9"/>
      <c r="I31" s="9"/>
      <c r="J31" s="10"/>
      <c r="K31" s="10"/>
      <c r="L31" s="10"/>
      <c r="M31" s="9"/>
      <c r="N31" s="9"/>
      <c r="O31" s="9"/>
      <c r="P31" s="10"/>
      <c r="Q31" s="10"/>
      <c r="R31" s="9"/>
    </row>
    <row r="32" spans="1:18" x14ac:dyDescent="0.3">
      <c r="A32" t="str">
        <f>IF(C32="","",COUNTA($C$4:C32))</f>
        <v/>
      </c>
      <c r="B32" s="3"/>
      <c r="J32" s="3"/>
      <c r="K32" s="3"/>
      <c r="L32" s="3"/>
      <c r="P32" s="3"/>
      <c r="Q32" s="3"/>
    </row>
    <row r="33" spans="1:18" x14ac:dyDescent="0.3">
      <c r="A33" s="9" t="str">
        <f>IF(C33="","",COUNTA($C$4:C33))</f>
        <v/>
      </c>
      <c r="B33" s="10"/>
      <c r="C33" s="9"/>
      <c r="D33" s="9"/>
      <c r="E33" s="9"/>
      <c r="F33" s="9"/>
      <c r="G33" s="9"/>
      <c r="H33" s="9"/>
      <c r="I33" s="9"/>
      <c r="J33" s="10"/>
      <c r="K33" s="10"/>
      <c r="L33" s="10"/>
      <c r="M33" s="9"/>
      <c r="N33" s="9"/>
      <c r="O33" s="9"/>
      <c r="P33" s="10"/>
      <c r="Q33" s="10"/>
      <c r="R33" s="9"/>
    </row>
    <row r="34" spans="1:18" x14ac:dyDescent="0.3">
      <c r="A34" t="str">
        <f>IF(C34="","",COUNTA($C$4:C34))</f>
        <v/>
      </c>
      <c r="B34" s="3"/>
      <c r="J34" s="3"/>
      <c r="K34" s="3"/>
      <c r="L34" s="3"/>
      <c r="P34" s="3"/>
      <c r="Q34" s="3"/>
    </row>
    <row r="35" spans="1:18" x14ac:dyDescent="0.3">
      <c r="A35" s="9" t="str">
        <f>IF(C35="","",COUNTA($C$4:C35))</f>
        <v/>
      </c>
      <c r="B35" s="10"/>
      <c r="C35" s="9"/>
      <c r="D35" s="9"/>
      <c r="E35" s="9"/>
      <c r="F35" s="9"/>
      <c r="G35" s="9"/>
      <c r="H35" s="9"/>
      <c r="I35" s="9"/>
      <c r="J35" s="10"/>
      <c r="K35" s="10"/>
      <c r="L35" s="10"/>
      <c r="M35" s="9"/>
      <c r="N35" s="9"/>
      <c r="O35" s="9"/>
      <c r="P35" s="10"/>
      <c r="Q35" s="10"/>
      <c r="R35" s="9"/>
    </row>
    <row r="36" spans="1:18" x14ac:dyDescent="0.3">
      <c r="A36" t="str">
        <f>IF(C36="","",COUNTA($C$4:C36))</f>
        <v/>
      </c>
      <c r="B36" s="3"/>
      <c r="J36" s="3"/>
      <c r="K36" s="3"/>
      <c r="L36" s="3"/>
      <c r="P36" s="3"/>
      <c r="Q36" s="3"/>
    </row>
    <row r="37" spans="1:18" x14ac:dyDescent="0.3">
      <c r="A37" s="9" t="str">
        <f>IF(C37="","",COUNTA($C$4:C37))</f>
        <v/>
      </c>
      <c r="B37" s="10"/>
      <c r="C37" s="9"/>
      <c r="D37" s="9"/>
      <c r="E37" s="9"/>
      <c r="F37" s="9"/>
      <c r="G37" s="9"/>
      <c r="H37" s="9"/>
      <c r="I37" s="9"/>
      <c r="J37" s="10"/>
      <c r="K37" s="10"/>
      <c r="L37" s="10"/>
      <c r="M37" s="9"/>
      <c r="N37" s="9"/>
      <c r="O37" s="9"/>
      <c r="P37" s="10"/>
      <c r="Q37" s="10"/>
      <c r="R37" s="9"/>
    </row>
    <row r="38" spans="1:18" x14ac:dyDescent="0.3">
      <c r="A38" t="str">
        <f>IF(C38="","",COUNTA($C$4:C38))</f>
        <v/>
      </c>
      <c r="B38" s="3"/>
      <c r="J38" s="3"/>
      <c r="K38" s="3"/>
      <c r="L38" s="3"/>
      <c r="P38" s="3"/>
      <c r="Q38" s="3"/>
    </row>
    <row r="39" spans="1:18" x14ac:dyDescent="0.3">
      <c r="A39" s="9" t="str">
        <f>IF(C39="","",COUNTA($C$4:C39))</f>
        <v/>
      </c>
      <c r="B39" s="10"/>
      <c r="C39" s="9"/>
      <c r="D39" s="9"/>
      <c r="E39" s="9"/>
      <c r="F39" s="9"/>
      <c r="G39" s="9"/>
      <c r="H39" s="9"/>
      <c r="I39" s="9"/>
      <c r="J39" s="10"/>
      <c r="K39" s="10"/>
      <c r="L39" s="10"/>
      <c r="M39" s="9"/>
      <c r="N39" s="9"/>
      <c r="O39" s="9"/>
      <c r="P39" s="10"/>
      <c r="Q39" s="10"/>
      <c r="R39" s="9"/>
    </row>
    <row r="40" spans="1:18" x14ac:dyDescent="0.3">
      <c r="A40" t="str">
        <f>IF(C40="","",COUNTA($C$4:C40))</f>
        <v/>
      </c>
      <c r="B40" s="3"/>
      <c r="J40" s="3"/>
      <c r="K40" s="3"/>
      <c r="L40" s="3"/>
      <c r="P40" s="3"/>
      <c r="Q40" s="3"/>
    </row>
    <row r="41" spans="1:18" x14ac:dyDescent="0.3">
      <c r="A41" s="9" t="str">
        <f>IF(C41="","",COUNTA($C$4:C41))</f>
        <v/>
      </c>
      <c r="B41" s="10"/>
      <c r="C41" s="9"/>
      <c r="D41" s="9"/>
      <c r="E41" s="9"/>
      <c r="F41" s="9"/>
      <c r="G41" s="9"/>
      <c r="H41" s="9"/>
      <c r="I41" s="9"/>
      <c r="J41" s="10"/>
      <c r="K41" s="10"/>
      <c r="L41" s="10"/>
      <c r="M41" s="9"/>
      <c r="N41" s="9"/>
      <c r="O41" s="9"/>
      <c r="P41" s="10"/>
      <c r="Q41" s="10"/>
      <c r="R41" s="9"/>
    </row>
    <row r="42" spans="1:18" x14ac:dyDescent="0.3">
      <c r="A42" t="str">
        <f>IF(C42="","",COUNTA($C$4:C42))</f>
        <v/>
      </c>
      <c r="B42" s="3"/>
      <c r="J42" s="3"/>
      <c r="K42" s="3"/>
      <c r="L42" s="3"/>
      <c r="P42" s="3"/>
      <c r="Q42" s="3"/>
    </row>
    <row r="43" spans="1:18" x14ac:dyDescent="0.3">
      <c r="A43" s="9" t="str">
        <f>IF(C43="","",COUNTA($C$4:C43))</f>
        <v/>
      </c>
      <c r="B43" s="10"/>
      <c r="C43" s="9"/>
      <c r="D43" s="9"/>
      <c r="E43" s="9"/>
      <c r="F43" s="9"/>
      <c r="G43" s="9"/>
      <c r="H43" s="9"/>
      <c r="I43" s="9"/>
      <c r="J43" s="10"/>
      <c r="K43" s="10"/>
      <c r="L43" s="10"/>
      <c r="M43" s="9"/>
      <c r="N43" s="9"/>
      <c r="O43" s="9"/>
      <c r="P43" s="10"/>
      <c r="Q43" s="10"/>
      <c r="R43" s="9"/>
    </row>
    <row r="44" spans="1:18" x14ac:dyDescent="0.3">
      <c r="A44" t="str">
        <f>IF(C44="","",COUNTA($C$4:C44))</f>
        <v/>
      </c>
      <c r="B44" s="3"/>
      <c r="J44" s="3"/>
      <c r="K44" s="3"/>
      <c r="L44" s="3"/>
      <c r="P44" s="3"/>
      <c r="Q44" s="3"/>
    </row>
    <row r="45" spans="1:18" x14ac:dyDescent="0.3">
      <c r="A45" s="9" t="str">
        <f>IF(C45="","",COUNTA($C$4:C45))</f>
        <v/>
      </c>
      <c r="B45" s="10"/>
      <c r="C45" s="9"/>
      <c r="D45" s="9"/>
      <c r="E45" s="9"/>
      <c r="F45" s="9"/>
      <c r="G45" s="9"/>
      <c r="H45" s="9"/>
      <c r="I45" s="9"/>
      <c r="J45" s="10"/>
      <c r="K45" s="10"/>
      <c r="L45" s="10"/>
      <c r="M45" s="9"/>
      <c r="N45" s="9"/>
      <c r="O45" s="9"/>
      <c r="P45" s="10"/>
      <c r="Q45" s="10"/>
      <c r="R45" s="9"/>
    </row>
    <row r="46" spans="1:18" x14ac:dyDescent="0.3">
      <c r="A46" t="str">
        <f>IF(C46="","",COUNTA($C$4:C46))</f>
        <v/>
      </c>
      <c r="B46" s="3"/>
      <c r="J46" s="3"/>
      <c r="K46" s="3"/>
      <c r="L46" s="3"/>
      <c r="P46" s="3"/>
      <c r="Q46" s="3"/>
    </row>
    <row r="47" spans="1:18" x14ac:dyDescent="0.3">
      <c r="A47" s="9" t="str">
        <f>IF(C47="","",COUNTA($C$4:C47))</f>
        <v/>
      </c>
      <c r="B47" s="10"/>
      <c r="C47" s="9"/>
      <c r="D47" s="9"/>
      <c r="E47" s="9"/>
      <c r="F47" s="9"/>
      <c r="G47" s="9"/>
      <c r="H47" s="9"/>
      <c r="I47" s="9"/>
      <c r="J47" s="10"/>
      <c r="K47" s="10"/>
      <c r="L47" s="10"/>
      <c r="M47" s="9"/>
      <c r="N47" s="9"/>
      <c r="O47" s="9"/>
      <c r="P47" s="10"/>
      <c r="Q47" s="10"/>
      <c r="R47" s="9"/>
    </row>
    <row r="48" spans="1:18" x14ac:dyDescent="0.3">
      <c r="A48" t="str">
        <f>IF(C48="","",COUNTA($C$4:C48))</f>
        <v/>
      </c>
      <c r="B48" s="3"/>
      <c r="J48" s="3"/>
      <c r="K48" s="3"/>
      <c r="L48" s="3"/>
      <c r="P48" s="3"/>
      <c r="Q48" s="3"/>
    </row>
    <row r="49" spans="1:18" x14ac:dyDescent="0.3">
      <c r="A49" s="9" t="str">
        <f>IF(C49="","",COUNTA($C$4:C49))</f>
        <v/>
      </c>
      <c r="B49" s="10"/>
      <c r="C49" s="9"/>
      <c r="D49" s="9"/>
      <c r="E49" s="9"/>
      <c r="F49" s="9"/>
      <c r="G49" s="9"/>
      <c r="H49" s="9"/>
      <c r="I49" s="9"/>
      <c r="J49" s="10"/>
      <c r="K49" s="10"/>
      <c r="L49" s="10"/>
      <c r="M49" s="9"/>
      <c r="N49" s="9"/>
      <c r="O49" s="9"/>
      <c r="P49" s="10"/>
      <c r="Q49" s="10"/>
      <c r="R49" s="9"/>
    </row>
    <row r="50" spans="1:18" x14ac:dyDescent="0.3">
      <c r="A50" t="str">
        <f>IF(C50="","",COUNTA($C$4:C50))</f>
        <v/>
      </c>
      <c r="B50" s="3"/>
      <c r="J50" s="3"/>
      <c r="K50" s="3"/>
      <c r="L50" s="3"/>
      <c r="P50" s="3"/>
      <c r="Q50" s="3"/>
    </row>
    <row r="51" spans="1:18" x14ac:dyDescent="0.3">
      <c r="A51" s="9" t="str">
        <f>IF(C51="","",COUNTA($C$4:C51))</f>
        <v/>
      </c>
      <c r="B51" s="10"/>
      <c r="C51" s="9"/>
      <c r="D51" s="9"/>
      <c r="E51" s="9"/>
      <c r="F51" s="9"/>
      <c r="G51" s="9"/>
      <c r="H51" s="9"/>
      <c r="I51" s="9"/>
      <c r="J51" s="10"/>
      <c r="K51" s="10"/>
      <c r="L51" s="10"/>
      <c r="M51" s="9"/>
      <c r="N51" s="9"/>
      <c r="O51" s="9"/>
      <c r="P51" s="10"/>
      <c r="Q51" s="10"/>
      <c r="R51" s="9"/>
    </row>
    <row r="52" spans="1:18" x14ac:dyDescent="0.3">
      <c r="A52" t="str">
        <f>IF(C52="","",COUNTA($C$4:C52))</f>
        <v/>
      </c>
      <c r="B52" s="3"/>
      <c r="J52" s="3"/>
      <c r="K52" s="3"/>
      <c r="L52" s="3"/>
      <c r="P52" s="3"/>
      <c r="Q52" s="3"/>
    </row>
    <row r="53" spans="1:18" x14ac:dyDescent="0.3">
      <c r="A53" s="9" t="str">
        <f>IF(C53="","",COUNTA($C$4:C53))</f>
        <v/>
      </c>
      <c r="B53" s="10"/>
      <c r="C53" s="9"/>
      <c r="D53" s="9"/>
      <c r="E53" s="9"/>
      <c r="F53" s="9"/>
      <c r="G53" s="9"/>
      <c r="H53" s="9"/>
      <c r="I53" s="9"/>
      <c r="J53" s="10"/>
      <c r="K53" s="10"/>
      <c r="L53" s="10"/>
      <c r="M53" s="9"/>
      <c r="N53" s="9"/>
      <c r="O53" s="9"/>
      <c r="P53" s="10"/>
      <c r="Q53" s="10"/>
      <c r="R53" s="9"/>
    </row>
    <row r="54" spans="1:18" x14ac:dyDescent="0.3">
      <c r="A54" t="str">
        <f>IF(C54="","",COUNTA($C$4:C54))</f>
        <v/>
      </c>
      <c r="B54" s="3"/>
      <c r="J54" s="3"/>
      <c r="K54" s="3"/>
      <c r="L54" s="3"/>
      <c r="P54" s="3"/>
      <c r="Q54" s="3"/>
    </row>
    <row r="55" spans="1:18" x14ac:dyDescent="0.3">
      <c r="A55" s="9" t="str">
        <f>IF(C55="","",COUNTA($C$4:C55))</f>
        <v/>
      </c>
      <c r="B55" s="10"/>
      <c r="C55" s="9"/>
      <c r="D55" s="9"/>
      <c r="E55" s="9"/>
      <c r="F55" s="9"/>
      <c r="G55" s="9"/>
      <c r="H55" s="9"/>
      <c r="I55" s="9"/>
      <c r="J55" s="10"/>
      <c r="K55" s="10"/>
      <c r="L55" s="10"/>
      <c r="M55" s="9"/>
      <c r="N55" s="9"/>
      <c r="O55" s="9"/>
      <c r="P55" s="10"/>
      <c r="Q55" s="10"/>
      <c r="R55" s="9"/>
    </row>
    <row r="56" spans="1:18" x14ac:dyDescent="0.3">
      <c r="A56" t="str">
        <f>IF(C56="","",COUNTA($C$4:C56))</f>
        <v/>
      </c>
      <c r="B56" s="3"/>
      <c r="J56" s="3"/>
      <c r="K56" s="3"/>
      <c r="L56" s="3"/>
      <c r="P56" s="3"/>
      <c r="Q56" s="3"/>
    </row>
    <row r="57" spans="1:18" x14ac:dyDescent="0.3">
      <c r="A57" s="9" t="str">
        <f>IF(C57="","",COUNTA($C$4:C57))</f>
        <v/>
      </c>
      <c r="B57" s="10"/>
      <c r="C57" s="9"/>
      <c r="D57" s="9"/>
      <c r="E57" s="9"/>
      <c r="F57" s="9"/>
      <c r="G57" s="9"/>
      <c r="H57" s="9"/>
      <c r="I57" s="9"/>
      <c r="J57" s="10"/>
      <c r="K57" s="10"/>
      <c r="L57" s="10"/>
      <c r="M57" s="9"/>
      <c r="N57" s="9"/>
      <c r="O57" s="9"/>
      <c r="P57" s="10"/>
      <c r="Q57" s="10"/>
      <c r="R57" s="9"/>
    </row>
    <row r="58" spans="1:18" x14ac:dyDescent="0.3">
      <c r="A58" t="str">
        <f>IF(C58="","",COUNTA($C$4:C58))</f>
        <v/>
      </c>
      <c r="B58" s="3"/>
      <c r="J58" s="3"/>
      <c r="K58" s="3"/>
      <c r="L58" s="3"/>
      <c r="P58" s="3"/>
      <c r="Q58" s="3"/>
    </row>
    <row r="59" spans="1:18" x14ac:dyDescent="0.3">
      <c r="A59" s="9" t="str">
        <f>IF(C59="","",COUNTA($C$4:C59))</f>
        <v/>
      </c>
      <c r="B59" s="10"/>
      <c r="C59" s="9"/>
      <c r="D59" s="9"/>
      <c r="E59" s="9"/>
      <c r="F59" s="9"/>
      <c r="G59" s="9"/>
      <c r="H59" s="9"/>
      <c r="I59" s="9"/>
      <c r="J59" s="10"/>
      <c r="K59" s="10"/>
      <c r="L59" s="10"/>
      <c r="M59" s="9"/>
      <c r="N59" s="9"/>
      <c r="O59" s="9"/>
      <c r="P59" s="10"/>
      <c r="Q59" s="10"/>
      <c r="R59" s="9"/>
    </row>
    <row r="60" spans="1:18" x14ac:dyDescent="0.3">
      <c r="A60" t="str">
        <f>IF(C60="","",COUNTA($C$4:C60))</f>
        <v/>
      </c>
      <c r="B60" s="3"/>
      <c r="J60" s="3"/>
      <c r="K60" s="3"/>
      <c r="L60" s="3"/>
      <c r="P60" s="3"/>
      <c r="Q60" s="3"/>
    </row>
    <row r="61" spans="1:18" x14ac:dyDescent="0.3">
      <c r="A61" s="9" t="str">
        <f>IF(C61="","",COUNTA($C$4:C61))</f>
        <v/>
      </c>
      <c r="B61" s="10"/>
      <c r="C61" s="9"/>
      <c r="D61" s="9"/>
      <c r="E61" s="9"/>
      <c r="F61" s="9"/>
      <c r="G61" s="9"/>
      <c r="H61" s="9"/>
      <c r="I61" s="9"/>
      <c r="J61" s="10"/>
      <c r="K61" s="10"/>
      <c r="L61" s="10"/>
      <c r="M61" s="9"/>
      <c r="N61" s="9"/>
      <c r="O61" s="9"/>
      <c r="P61" s="10"/>
      <c r="Q61" s="10"/>
      <c r="R61" s="9"/>
    </row>
    <row r="62" spans="1:18" x14ac:dyDescent="0.3">
      <c r="A62" t="str">
        <f>IF(C62="","",COUNTA($C$4:C62))</f>
        <v/>
      </c>
      <c r="B62" s="3"/>
      <c r="J62" s="3"/>
      <c r="K62" s="3"/>
      <c r="L62" s="3"/>
      <c r="P62" s="3"/>
      <c r="Q62" s="3"/>
    </row>
    <row r="63" spans="1:18" x14ac:dyDescent="0.3">
      <c r="A63" s="9" t="str">
        <f>IF(C63="","",COUNTA($C$4:C63))</f>
        <v/>
      </c>
      <c r="B63" s="10"/>
      <c r="C63" s="9"/>
      <c r="D63" s="9"/>
      <c r="E63" s="9"/>
      <c r="F63" s="9"/>
      <c r="G63" s="9"/>
      <c r="H63" s="9"/>
      <c r="I63" s="9"/>
      <c r="J63" s="10"/>
      <c r="K63" s="10"/>
      <c r="L63" s="10"/>
      <c r="M63" s="9"/>
      <c r="N63" s="9"/>
      <c r="O63" s="9"/>
      <c r="P63" s="10"/>
      <c r="Q63" s="10"/>
      <c r="R63" s="9"/>
    </row>
    <row r="64" spans="1:18" x14ac:dyDescent="0.3">
      <c r="A64" t="str">
        <f>IF(C64="","",COUNTA($C$4:C64))</f>
        <v/>
      </c>
      <c r="B64" s="3"/>
      <c r="J64" s="3"/>
      <c r="K64" s="3"/>
      <c r="L64" s="3"/>
      <c r="P64" s="3"/>
      <c r="Q64" s="3"/>
    </row>
    <row r="65" spans="1:18" x14ac:dyDescent="0.3">
      <c r="A65" s="9" t="str">
        <f>IF(C65="","",COUNTA($C$4:C65))</f>
        <v/>
      </c>
      <c r="B65" s="10"/>
      <c r="C65" s="9"/>
      <c r="D65" s="9"/>
      <c r="E65" s="9"/>
      <c r="F65" s="9"/>
      <c r="G65" s="9"/>
      <c r="H65" s="9"/>
      <c r="I65" s="9"/>
      <c r="J65" s="10"/>
      <c r="K65" s="10"/>
      <c r="L65" s="10"/>
      <c r="M65" s="9"/>
      <c r="N65" s="9"/>
      <c r="O65" s="9"/>
      <c r="P65" s="10"/>
      <c r="Q65" s="10"/>
      <c r="R65" s="9"/>
    </row>
    <row r="66" spans="1:18" x14ac:dyDescent="0.3">
      <c r="A66" t="str">
        <f>IF(C66="","",COUNTA($C$4:C66))</f>
        <v/>
      </c>
      <c r="B66" s="3"/>
      <c r="J66" s="3"/>
      <c r="K66" s="3"/>
      <c r="L66" s="3"/>
      <c r="P66" s="3"/>
      <c r="Q66" s="3"/>
    </row>
    <row r="67" spans="1:18" x14ac:dyDescent="0.3">
      <c r="A67" s="9" t="str">
        <f>IF(C67="","",COUNTA($C$4:C67))</f>
        <v/>
      </c>
      <c r="B67" s="10"/>
      <c r="C67" s="9"/>
      <c r="D67" s="9"/>
      <c r="E67" s="9"/>
      <c r="F67" s="9"/>
      <c r="G67" s="9"/>
      <c r="H67" s="9"/>
      <c r="I67" s="9"/>
      <c r="J67" s="10"/>
      <c r="K67" s="10"/>
      <c r="L67" s="10"/>
      <c r="M67" s="9"/>
      <c r="N67" s="9"/>
      <c r="O67" s="9"/>
      <c r="P67" s="10"/>
      <c r="Q67" s="10"/>
      <c r="R67" s="9"/>
    </row>
    <row r="68" spans="1:18" x14ac:dyDescent="0.3">
      <c r="A68" t="str">
        <f>IF(C68="","",COUNTA($C$4:C68))</f>
        <v/>
      </c>
      <c r="B68" s="3"/>
      <c r="J68" s="3"/>
      <c r="K68" s="3"/>
      <c r="L68" s="3"/>
      <c r="P68" s="3"/>
      <c r="Q68" s="3"/>
    </row>
    <row r="69" spans="1:18" x14ac:dyDescent="0.3">
      <c r="A69" s="9" t="str">
        <f>IF(C69="","",COUNTA($C$4:C69))</f>
        <v/>
      </c>
      <c r="B69" s="10"/>
      <c r="C69" s="9"/>
      <c r="D69" s="9"/>
      <c r="E69" s="9"/>
      <c r="F69" s="9"/>
      <c r="G69" s="9"/>
      <c r="H69" s="9"/>
      <c r="I69" s="9"/>
      <c r="J69" s="10"/>
      <c r="K69" s="10"/>
      <c r="L69" s="10"/>
      <c r="M69" s="9"/>
      <c r="N69" s="9"/>
      <c r="O69" s="9"/>
      <c r="P69" s="10"/>
      <c r="Q69" s="10"/>
      <c r="R69" s="9"/>
    </row>
    <row r="70" spans="1:18" x14ac:dyDescent="0.3">
      <c r="A70" t="str">
        <f>IF(C70="","",COUNTA($C$4:C70))</f>
        <v/>
      </c>
      <c r="B70" s="3"/>
      <c r="J70" s="3"/>
      <c r="K70" s="3"/>
      <c r="L70" s="3"/>
      <c r="P70" s="3"/>
      <c r="Q70" s="3"/>
    </row>
    <row r="71" spans="1:18" x14ac:dyDescent="0.3">
      <c r="A71" s="9" t="str">
        <f>IF(C71="","",COUNTA($C$4:C71))</f>
        <v/>
      </c>
      <c r="B71" s="10"/>
      <c r="C71" s="9"/>
      <c r="D71" s="9"/>
      <c r="E71" s="9"/>
      <c r="F71" s="9"/>
      <c r="G71" s="9"/>
      <c r="H71" s="9"/>
      <c r="I71" s="9"/>
      <c r="J71" s="10"/>
      <c r="K71" s="10"/>
      <c r="L71" s="10"/>
      <c r="M71" s="9"/>
      <c r="N71" s="9"/>
      <c r="O71" s="9"/>
      <c r="P71" s="10"/>
      <c r="Q71" s="10"/>
      <c r="R71" s="9"/>
    </row>
    <row r="72" spans="1:18" x14ac:dyDescent="0.3">
      <c r="A72" t="str">
        <f>IF(C72="","",COUNTA($C$4:C72))</f>
        <v/>
      </c>
      <c r="B72" s="3"/>
      <c r="J72" s="3"/>
      <c r="K72" s="3"/>
      <c r="L72" s="3"/>
      <c r="P72" s="3"/>
      <c r="Q72" s="3"/>
    </row>
    <row r="73" spans="1:18" x14ac:dyDescent="0.3">
      <c r="A73" s="9" t="str">
        <f>IF(C73="","",COUNTA($C$4:C73))</f>
        <v/>
      </c>
      <c r="B73" s="10"/>
      <c r="C73" s="9"/>
      <c r="D73" s="9"/>
      <c r="E73" s="9"/>
      <c r="F73" s="9"/>
      <c r="G73" s="9"/>
      <c r="H73" s="9"/>
      <c r="I73" s="9"/>
      <c r="J73" s="10"/>
      <c r="K73" s="10"/>
      <c r="L73" s="10"/>
      <c r="M73" s="9"/>
      <c r="N73" s="9"/>
      <c r="O73" s="9"/>
      <c r="P73" s="10"/>
      <c r="Q73" s="10"/>
      <c r="R73" s="9"/>
    </row>
    <row r="74" spans="1:18" x14ac:dyDescent="0.3">
      <c r="A74" t="str">
        <f>IF(C74="","",COUNTA($C$4:C74))</f>
        <v/>
      </c>
      <c r="B74" s="3"/>
      <c r="J74" s="3"/>
      <c r="K74" s="3"/>
      <c r="L74" s="3"/>
      <c r="P74" s="3"/>
      <c r="Q74" s="3"/>
    </row>
    <row r="75" spans="1:18" x14ac:dyDescent="0.3">
      <c r="A75" s="9" t="str">
        <f>IF(C75="","",COUNTA($C$4:C75))</f>
        <v/>
      </c>
      <c r="B75" s="10"/>
      <c r="C75" s="9"/>
      <c r="D75" s="9"/>
      <c r="E75" s="9"/>
      <c r="F75" s="9"/>
      <c r="G75" s="9"/>
      <c r="H75" s="9"/>
      <c r="I75" s="9"/>
      <c r="J75" s="10"/>
      <c r="K75" s="10"/>
      <c r="L75" s="10"/>
      <c r="M75" s="9"/>
      <c r="N75" s="9"/>
      <c r="O75" s="9"/>
      <c r="P75" s="10"/>
      <c r="Q75" s="10"/>
      <c r="R75" s="9"/>
    </row>
    <row r="76" spans="1:18" x14ac:dyDescent="0.3">
      <c r="A76" t="str">
        <f>IF(C76="","",COUNTA($C$4:C76))</f>
        <v/>
      </c>
      <c r="B76" s="3"/>
      <c r="J76" s="3"/>
      <c r="K76" s="3"/>
      <c r="L76" s="3"/>
      <c r="P76" s="3"/>
      <c r="Q76" s="3"/>
    </row>
    <row r="77" spans="1:18" x14ac:dyDescent="0.3">
      <c r="A77" s="9" t="str">
        <f>IF(C77="","",COUNTA($C$4:C77))</f>
        <v/>
      </c>
      <c r="B77" s="10"/>
      <c r="C77" s="9"/>
      <c r="D77" s="9"/>
      <c r="E77" s="9"/>
      <c r="F77" s="9"/>
      <c r="G77" s="9"/>
      <c r="H77" s="9"/>
      <c r="I77" s="9"/>
      <c r="J77" s="10"/>
      <c r="K77" s="10"/>
      <c r="L77" s="10"/>
      <c r="M77" s="9"/>
      <c r="N77" s="9"/>
      <c r="O77" s="9"/>
      <c r="P77" s="10"/>
      <c r="Q77" s="10"/>
      <c r="R77" s="9"/>
    </row>
    <row r="78" spans="1:18" x14ac:dyDescent="0.3">
      <c r="A78" t="str">
        <f>IF(C78="","",COUNTA($C$4:C78))</f>
        <v/>
      </c>
      <c r="B78" s="3"/>
      <c r="J78" s="3"/>
      <c r="K78" s="3"/>
      <c r="L78" s="3"/>
      <c r="P78" s="3"/>
      <c r="Q78" s="3"/>
    </row>
    <row r="79" spans="1:18" x14ac:dyDescent="0.3">
      <c r="A79" s="9" t="str">
        <f>IF(C79="","",COUNTA($C$4:C79))</f>
        <v/>
      </c>
      <c r="B79" s="10"/>
      <c r="C79" s="9"/>
      <c r="D79" s="9"/>
      <c r="E79" s="9"/>
      <c r="F79" s="9"/>
      <c r="G79" s="9"/>
      <c r="H79" s="9"/>
      <c r="I79" s="9"/>
      <c r="J79" s="10"/>
      <c r="K79" s="10"/>
      <c r="L79" s="10"/>
      <c r="M79" s="9"/>
      <c r="N79" s="9"/>
      <c r="O79" s="9"/>
      <c r="P79" s="10"/>
      <c r="Q79" s="10"/>
      <c r="R79" s="9"/>
    </row>
    <row r="80" spans="1:18" x14ac:dyDescent="0.3">
      <c r="A80" t="str">
        <f>IF(C80="","",COUNTA($C$4:C80))</f>
        <v/>
      </c>
      <c r="B80" s="3"/>
      <c r="J80" s="3"/>
      <c r="K80" s="3"/>
      <c r="L80" s="3"/>
      <c r="P80" s="3"/>
      <c r="Q80" s="3"/>
    </row>
    <row r="81" spans="1:18" x14ac:dyDescent="0.3">
      <c r="A81" s="9" t="str">
        <f>IF(C81="","",COUNTA($C$4:C81))</f>
        <v/>
      </c>
      <c r="B81" s="10"/>
      <c r="C81" s="9"/>
      <c r="D81" s="9"/>
      <c r="E81" s="9"/>
      <c r="F81" s="9"/>
      <c r="G81" s="9"/>
      <c r="H81" s="9"/>
      <c r="I81" s="9"/>
      <c r="J81" s="10"/>
      <c r="K81" s="10"/>
      <c r="L81" s="10"/>
      <c r="M81" s="9"/>
      <c r="N81" s="9"/>
      <c r="O81" s="9"/>
      <c r="P81" s="10"/>
      <c r="Q81" s="10"/>
      <c r="R81" s="9"/>
    </row>
    <row r="82" spans="1:18" x14ac:dyDescent="0.3">
      <c r="A82" t="str">
        <f>IF(C82="","",COUNTA($C$4:C82))</f>
        <v/>
      </c>
      <c r="B82" s="3"/>
      <c r="J82" s="3"/>
      <c r="K82" s="3"/>
      <c r="L82" s="3"/>
      <c r="P82" s="3"/>
      <c r="Q82" s="3"/>
    </row>
    <row r="83" spans="1:18" x14ac:dyDescent="0.3">
      <c r="A83" s="9" t="str">
        <f>IF(C83="","",COUNTA($C$4:C83))</f>
        <v/>
      </c>
      <c r="B83" s="10"/>
      <c r="C83" s="9"/>
      <c r="D83" s="9"/>
      <c r="E83" s="9"/>
      <c r="F83" s="9"/>
      <c r="G83" s="9"/>
      <c r="H83" s="9"/>
      <c r="I83" s="9"/>
      <c r="J83" s="10"/>
      <c r="K83" s="10"/>
      <c r="L83" s="10"/>
      <c r="M83" s="9"/>
      <c r="N83" s="9"/>
      <c r="O83" s="9"/>
      <c r="P83" s="10"/>
      <c r="Q83" s="10"/>
      <c r="R83" s="9"/>
    </row>
    <row r="84" spans="1:18" x14ac:dyDescent="0.3">
      <c r="A84" t="str">
        <f>IF(C84="","",COUNTA($C$4:C84))</f>
        <v/>
      </c>
      <c r="B84" s="3"/>
      <c r="J84" s="3"/>
      <c r="K84" s="3"/>
      <c r="L84" s="3"/>
      <c r="P84" s="3"/>
      <c r="Q84" s="3"/>
    </row>
    <row r="85" spans="1:18" x14ac:dyDescent="0.3">
      <c r="A85" s="9" t="str">
        <f>IF(C85="","",COUNTA($C$4:C85))</f>
        <v/>
      </c>
      <c r="B85" s="10"/>
      <c r="C85" s="9"/>
      <c r="D85" s="9"/>
      <c r="E85" s="9"/>
      <c r="F85" s="9"/>
      <c r="G85" s="9"/>
      <c r="H85" s="9"/>
      <c r="I85" s="9"/>
      <c r="J85" s="10"/>
      <c r="K85" s="10"/>
      <c r="L85" s="10"/>
      <c r="M85" s="9"/>
      <c r="N85" s="9"/>
      <c r="O85" s="9"/>
      <c r="P85" s="10"/>
      <c r="Q85" s="10"/>
      <c r="R85" s="9"/>
    </row>
    <row r="86" spans="1:18" x14ac:dyDescent="0.3">
      <c r="A86" t="str">
        <f>IF(C86="","",COUNTA($C$4:C86))</f>
        <v/>
      </c>
      <c r="B86" s="3"/>
      <c r="J86" s="3"/>
      <c r="K86" s="3"/>
      <c r="L86" s="3"/>
      <c r="P86" s="3"/>
      <c r="Q86" s="3"/>
    </row>
    <row r="87" spans="1:18" x14ac:dyDescent="0.3">
      <c r="A87" s="9" t="str">
        <f>IF(C87="","",COUNTA($C$4:C87))</f>
        <v/>
      </c>
      <c r="B87" s="10"/>
      <c r="C87" s="9"/>
      <c r="D87" s="9"/>
      <c r="E87" s="9"/>
      <c r="F87" s="9"/>
      <c r="G87" s="9"/>
      <c r="H87" s="9"/>
      <c r="I87" s="9"/>
      <c r="J87" s="10"/>
      <c r="K87" s="10"/>
      <c r="L87" s="10"/>
      <c r="M87" s="9"/>
      <c r="N87" s="9"/>
      <c r="O87" s="9"/>
      <c r="P87" s="10"/>
      <c r="Q87" s="10"/>
      <c r="R87" s="9"/>
    </row>
    <row r="88" spans="1:18" x14ac:dyDescent="0.3">
      <c r="A88" t="str">
        <f>IF(C88="","",COUNTA($C$4:C88))</f>
        <v/>
      </c>
      <c r="B88" s="3"/>
      <c r="J88" s="3"/>
      <c r="K88" s="3"/>
      <c r="L88" s="3"/>
      <c r="P88" s="3"/>
      <c r="Q88" s="3"/>
    </row>
    <row r="89" spans="1:18" x14ac:dyDescent="0.3">
      <c r="A89" s="9" t="str">
        <f>IF(C89="","",COUNTA($C$4:C89))</f>
        <v/>
      </c>
      <c r="B89" s="10"/>
      <c r="C89" s="9"/>
      <c r="D89" s="9"/>
      <c r="E89" s="9"/>
      <c r="F89" s="9"/>
      <c r="G89" s="9"/>
      <c r="H89" s="9"/>
      <c r="I89" s="9"/>
      <c r="J89" s="10"/>
      <c r="K89" s="10"/>
      <c r="L89" s="10"/>
      <c r="M89" s="9"/>
      <c r="N89" s="9"/>
      <c r="O89" s="9"/>
      <c r="P89" s="10"/>
      <c r="Q89" s="10"/>
      <c r="R89" s="9"/>
    </row>
    <row r="90" spans="1:18" x14ac:dyDescent="0.3">
      <c r="A90" t="str">
        <f>IF(C90="","",COUNTA($C$4:C90))</f>
        <v/>
      </c>
      <c r="B90" s="3"/>
      <c r="J90" s="3"/>
      <c r="K90" s="3"/>
      <c r="L90" s="3"/>
      <c r="P90" s="3"/>
      <c r="Q90" s="3"/>
    </row>
    <row r="91" spans="1:18" x14ac:dyDescent="0.3">
      <c r="A91" s="9" t="str">
        <f>IF(C91="","",COUNTA($C$4:C91))</f>
        <v/>
      </c>
      <c r="B91" s="10"/>
      <c r="C91" s="9"/>
      <c r="D91" s="9"/>
      <c r="E91" s="9"/>
      <c r="F91" s="9"/>
      <c r="G91" s="9"/>
      <c r="H91" s="9"/>
      <c r="I91" s="9"/>
      <c r="J91" s="10"/>
      <c r="K91" s="10"/>
      <c r="L91" s="10"/>
      <c r="M91" s="9"/>
      <c r="N91" s="9"/>
      <c r="O91" s="9"/>
      <c r="P91" s="10"/>
      <c r="Q91" s="10"/>
      <c r="R91" s="9"/>
    </row>
    <row r="92" spans="1:18" x14ac:dyDescent="0.3">
      <c r="A92" t="str">
        <f>IF(C92="","",COUNTA($C$4:C92))</f>
        <v/>
      </c>
      <c r="B92" s="3"/>
      <c r="J92" s="3"/>
      <c r="K92" s="3"/>
      <c r="L92" s="3"/>
      <c r="P92" s="3"/>
      <c r="Q92" s="3"/>
    </row>
    <row r="93" spans="1:18" x14ac:dyDescent="0.3">
      <c r="A93" s="9" t="str">
        <f>IF(C93="","",COUNTA($C$4:C93))</f>
        <v/>
      </c>
      <c r="B93" s="10"/>
      <c r="C93" s="9"/>
      <c r="D93" s="9"/>
      <c r="E93" s="9"/>
      <c r="F93" s="9"/>
      <c r="G93" s="9"/>
      <c r="H93" s="9"/>
      <c r="I93" s="9"/>
      <c r="J93" s="10"/>
      <c r="K93" s="10"/>
      <c r="L93" s="10"/>
      <c r="M93" s="9"/>
      <c r="N93" s="9"/>
      <c r="O93" s="9"/>
      <c r="P93" s="10"/>
      <c r="Q93" s="10"/>
      <c r="R93" s="9"/>
    </row>
    <row r="94" spans="1:18" x14ac:dyDescent="0.3">
      <c r="A94" t="str">
        <f>IF(C94="","",COUNTA($C$4:C94))</f>
        <v/>
      </c>
      <c r="B94" s="3"/>
      <c r="J94" s="3"/>
      <c r="K94" s="3"/>
      <c r="L94" s="3"/>
      <c r="P94" s="3"/>
      <c r="Q94" s="3"/>
    </row>
    <row r="95" spans="1:18" x14ac:dyDescent="0.3">
      <c r="A95" s="9" t="str">
        <f>IF(C95="","",COUNTA($C$4:C95))</f>
        <v/>
      </c>
      <c r="B95" s="10"/>
      <c r="C95" s="9"/>
      <c r="D95" s="9"/>
      <c r="E95" s="9"/>
      <c r="F95" s="9"/>
      <c r="G95" s="9"/>
      <c r="H95" s="9"/>
      <c r="I95" s="9"/>
      <c r="J95" s="10"/>
      <c r="K95" s="10"/>
      <c r="L95" s="10"/>
      <c r="M95" s="9"/>
      <c r="N95" s="9"/>
      <c r="O95" s="9"/>
      <c r="P95" s="10"/>
      <c r="Q95" s="10"/>
      <c r="R95" s="9"/>
    </row>
    <row r="96" spans="1:18" x14ac:dyDescent="0.3">
      <c r="A96" t="str">
        <f>IF(C96="","",COUNTA($C$4:C96))</f>
        <v/>
      </c>
      <c r="B96" s="3"/>
      <c r="J96" s="3"/>
      <c r="K96" s="3"/>
      <c r="L96" s="3"/>
      <c r="P96" s="3"/>
      <c r="Q96" s="3"/>
    </row>
    <row r="97" spans="1:18" x14ac:dyDescent="0.3">
      <c r="A97" s="9" t="str">
        <f>IF(C97="","",COUNTA($C$4:C97))</f>
        <v/>
      </c>
      <c r="B97" s="10"/>
      <c r="C97" s="9"/>
      <c r="D97" s="9"/>
      <c r="E97" s="9"/>
      <c r="F97" s="9"/>
      <c r="G97" s="9"/>
      <c r="H97" s="9"/>
      <c r="I97" s="9"/>
      <c r="J97" s="10"/>
      <c r="K97" s="10"/>
      <c r="L97" s="10"/>
      <c r="M97" s="9"/>
      <c r="N97" s="9"/>
      <c r="O97" s="9"/>
      <c r="P97" s="10"/>
      <c r="Q97" s="10"/>
      <c r="R97" s="9"/>
    </row>
    <row r="98" spans="1:18" x14ac:dyDescent="0.3">
      <c r="A98" t="str">
        <f>IF(C98="","",COUNTA($C$4:C98))</f>
        <v/>
      </c>
      <c r="B98" s="3"/>
      <c r="J98" s="3"/>
      <c r="K98" s="3"/>
      <c r="L98" s="3"/>
      <c r="P98" s="3"/>
      <c r="Q98" s="3"/>
    </row>
    <row r="99" spans="1:18" x14ac:dyDescent="0.3">
      <c r="A99" s="9" t="str">
        <f>IF(C99="","",COUNTA($C$4:C99))</f>
        <v/>
      </c>
      <c r="B99" s="10"/>
      <c r="C99" s="9"/>
      <c r="D99" s="9"/>
      <c r="E99" s="9"/>
      <c r="F99" s="9"/>
      <c r="G99" s="9"/>
      <c r="H99" s="9"/>
      <c r="I99" s="9"/>
      <c r="J99" s="10"/>
      <c r="K99" s="10"/>
      <c r="L99" s="10"/>
      <c r="M99" s="9"/>
      <c r="N99" s="9"/>
      <c r="O99" s="9"/>
      <c r="P99" s="10"/>
      <c r="Q99" s="10"/>
      <c r="R99" s="9"/>
    </row>
    <row r="100" spans="1:18" x14ac:dyDescent="0.3">
      <c r="A100" t="str">
        <f>IF(C100="","",COUNTA($C$4:C100))</f>
        <v/>
      </c>
      <c r="B100" s="3"/>
      <c r="J100" s="3"/>
      <c r="K100" s="3"/>
      <c r="L100" s="3"/>
      <c r="P100" s="3"/>
      <c r="Q100" s="3"/>
    </row>
    <row r="101" spans="1:18" x14ac:dyDescent="0.3">
      <c r="A101" s="9" t="str">
        <f>IF(C101="","",COUNTA($C$4:C101))</f>
        <v/>
      </c>
      <c r="B101" s="10"/>
      <c r="C101" s="9"/>
      <c r="D101" s="9"/>
      <c r="E101" s="9"/>
      <c r="F101" s="9"/>
      <c r="G101" s="9"/>
      <c r="H101" s="9"/>
      <c r="I101" s="9"/>
      <c r="J101" s="10"/>
      <c r="K101" s="10"/>
      <c r="L101" s="10"/>
      <c r="M101" s="9"/>
      <c r="N101" s="9"/>
      <c r="O101" s="9"/>
      <c r="P101" s="10"/>
      <c r="Q101" s="10"/>
      <c r="R101" s="9"/>
    </row>
    <row r="102" spans="1:18" x14ac:dyDescent="0.3">
      <c r="A102" t="str">
        <f>IF(C102="","",COUNTA($C$4:C102))</f>
        <v/>
      </c>
      <c r="B102" s="3"/>
      <c r="J102" s="3"/>
      <c r="K102" s="3"/>
      <c r="L102" s="3"/>
      <c r="P102" s="3"/>
      <c r="Q102" s="3"/>
    </row>
    <row r="103" spans="1:18" x14ac:dyDescent="0.3">
      <c r="A103" s="9" t="str">
        <f>IF(C103="","",COUNTA($C$4:C103))</f>
        <v/>
      </c>
      <c r="B103" s="10"/>
      <c r="C103" s="9"/>
      <c r="D103" s="9"/>
      <c r="E103" s="9"/>
      <c r="F103" s="9"/>
      <c r="G103" s="9"/>
      <c r="H103" s="9"/>
      <c r="I103" s="9"/>
      <c r="J103" s="10"/>
      <c r="K103" s="10"/>
      <c r="L103" s="10"/>
      <c r="M103" s="9"/>
      <c r="N103" s="9"/>
      <c r="O103" s="9"/>
      <c r="P103" s="10"/>
      <c r="Q103" s="10"/>
      <c r="R103" s="9"/>
    </row>
    <row r="104" spans="1:18" x14ac:dyDescent="0.3">
      <c r="A104" t="str">
        <f>IF(C104="","",COUNTA($C$4:C104))</f>
        <v/>
      </c>
      <c r="B104" s="3"/>
      <c r="J104" s="3"/>
      <c r="K104" s="3"/>
      <c r="L104" s="3"/>
      <c r="P104" s="3"/>
      <c r="Q104" s="3"/>
    </row>
    <row r="105" spans="1:18" x14ac:dyDescent="0.3">
      <c r="A105" s="9" t="str">
        <f>IF(C105="","",COUNTA($C$4:C105))</f>
        <v/>
      </c>
      <c r="B105" s="10"/>
      <c r="C105" s="9"/>
      <c r="D105" s="9"/>
      <c r="E105" s="9"/>
      <c r="F105" s="9"/>
      <c r="G105" s="9"/>
      <c r="H105" s="9"/>
      <c r="I105" s="9"/>
      <c r="J105" s="10"/>
      <c r="K105" s="10"/>
      <c r="L105" s="10"/>
      <c r="M105" s="9"/>
      <c r="N105" s="9"/>
      <c r="O105" s="9"/>
      <c r="P105" s="10"/>
      <c r="Q105" s="10"/>
      <c r="R105" s="9"/>
    </row>
    <row r="106" spans="1:18" x14ac:dyDescent="0.3">
      <c r="A106" t="str">
        <f>IF(C106="","",COUNTA($C$4:C106))</f>
        <v/>
      </c>
      <c r="B106" s="3"/>
      <c r="J106" s="3"/>
      <c r="K106" s="3"/>
      <c r="L106" s="3"/>
      <c r="P106" s="3"/>
      <c r="Q106" s="3"/>
    </row>
    <row r="107" spans="1:18" x14ac:dyDescent="0.3">
      <c r="A107" s="9" t="str">
        <f>IF(C107="","",COUNTA($C$4:C107))</f>
        <v/>
      </c>
      <c r="B107" s="10"/>
      <c r="C107" s="9"/>
      <c r="D107" s="9"/>
      <c r="E107" s="9"/>
      <c r="F107" s="9"/>
      <c r="G107" s="9"/>
      <c r="H107" s="9"/>
      <c r="I107" s="9"/>
      <c r="J107" s="10"/>
      <c r="K107" s="10"/>
      <c r="L107" s="10"/>
      <c r="M107" s="9"/>
      <c r="N107" s="9"/>
      <c r="O107" s="9"/>
      <c r="P107" s="10"/>
      <c r="Q107" s="10"/>
      <c r="R107" s="9"/>
    </row>
    <row r="108" spans="1:18" x14ac:dyDescent="0.3">
      <c r="A108" t="str">
        <f>IF(C108="","",COUNTA($C$4:C108))</f>
        <v/>
      </c>
      <c r="B108" s="3"/>
      <c r="J108" s="3"/>
      <c r="K108" s="3"/>
      <c r="L108" s="3"/>
      <c r="P108" s="3"/>
      <c r="Q108" s="3"/>
    </row>
    <row r="109" spans="1:18" x14ac:dyDescent="0.3">
      <c r="A109" s="9" t="str">
        <f>IF(C109="","",COUNTA($C$4:C109))</f>
        <v/>
      </c>
      <c r="B109" s="10"/>
      <c r="C109" s="9"/>
      <c r="D109" s="9"/>
      <c r="E109" s="9"/>
      <c r="F109" s="9"/>
      <c r="G109" s="9"/>
      <c r="H109" s="9"/>
      <c r="I109" s="9"/>
      <c r="J109" s="10"/>
      <c r="K109" s="10"/>
      <c r="L109" s="10"/>
      <c r="M109" s="9"/>
      <c r="N109" s="9"/>
      <c r="O109" s="9"/>
      <c r="P109" s="10"/>
      <c r="Q109" s="10"/>
      <c r="R109" s="9"/>
    </row>
    <row r="110" spans="1:18" x14ac:dyDescent="0.3">
      <c r="A110" t="str">
        <f>IF(C110="","",COUNTA($C$4:C110))</f>
        <v/>
      </c>
      <c r="B110" s="3"/>
      <c r="J110" s="3"/>
      <c r="K110" s="3"/>
      <c r="L110" s="3"/>
      <c r="P110" s="3"/>
      <c r="Q110" s="3"/>
    </row>
    <row r="111" spans="1:18" x14ac:dyDescent="0.3">
      <c r="A111" s="9" t="str">
        <f>IF(C111="","",COUNTA($C$4:C111))</f>
        <v/>
      </c>
      <c r="B111" s="10"/>
      <c r="C111" s="9"/>
      <c r="D111" s="9"/>
      <c r="E111" s="9"/>
      <c r="F111" s="9"/>
      <c r="G111" s="9"/>
      <c r="H111" s="9"/>
      <c r="I111" s="9"/>
      <c r="J111" s="10"/>
      <c r="K111" s="10"/>
      <c r="L111" s="10"/>
      <c r="M111" s="9"/>
      <c r="N111" s="9"/>
      <c r="O111" s="9"/>
      <c r="P111" s="10"/>
      <c r="Q111" s="10"/>
      <c r="R111" s="9"/>
    </row>
    <row r="112" spans="1:18" x14ac:dyDescent="0.3">
      <c r="A112" t="str">
        <f>IF(C112="","",COUNTA($C$4:C112))</f>
        <v/>
      </c>
      <c r="B112" s="3"/>
      <c r="J112" s="3"/>
      <c r="K112" s="3"/>
      <c r="L112" s="3"/>
      <c r="P112" s="3"/>
      <c r="Q112" s="3"/>
    </row>
    <row r="113" spans="1:18" x14ac:dyDescent="0.3">
      <c r="A113" s="9" t="str">
        <f>IF(C113="","",COUNTA($C$4:C113))</f>
        <v/>
      </c>
      <c r="B113" s="10"/>
      <c r="C113" s="9"/>
      <c r="D113" s="9"/>
      <c r="E113" s="9"/>
      <c r="F113" s="9"/>
      <c r="G113" s="9"/>
      <c r="H113" s="9"/>
      <c r="I113" s="9"/>
      <c r="J113" s="10"/>
      <c r="K113" s="10"/>
      <c r="L113" s="10"/>
      <c r="M113" s="9"/>
      <c r="N113" s="9"/>
      <c r="O113" s="9"/>
      <c r="P113" s="10"/>
      <c r="Q113" s="10"/>
      <c r="R113" s="9"/>
    </row>
    <row r="114" spans="1:18" x14ac:dyDescent="0.3">
      <c r="A114" t="str">
        <f>IF(C114="","",COUNTA($C$4:C114))</f>
        <v/>
      </c>
      <c r="B114" s="3"/>
      <c r="J114" s="3"/>
      <c r="K114" s="3"/>
      <c r="L114" s="3"/>
      <c r="P114" s="3"/>
      <c r="Q114" s="3"/>
    </row>
    <row r="115" spans="1:18" x14ac:dyDescent="0.3">
      <c r="A115" s="9" t="str">
        <f>IF(C115="","",COUNTA($C$4:C115))</f>
        <v/>
      </c>
      <c r="B115" s="10"/>
      <c r="C115" s="9"/>
      <c r="D115" s="9"/>
      <c r="E115" s="9"/>
      <c r="F115" s="9"/>
      <c r="G115" s="9"/>
      <c r="H115" s="9"/>
      <c r="I115" s="9"/>
      <c r="J115" s="10"/>
      <c r="K115" s="10"/>
      <c r="L115" s="10"/>
      <c r="M115" s="9"/>
      <c r="N115" s="9"/>
      <c r="O115" s="9"/>
      <c r="P115" s="10"/>
      <c r="Q115" s="10"/>
      <c r="R115" s="9"/>
    </row>
    <row r="116" spans="1:18" x14ac:dyDescent="0.3">
      <c r="A116" t="str">
        <f>IF(C116="","",COUNTA($C$4:C116))</f>
        <v/>
      </c>
      <c r="B116" s="3"/>
      <c r="J116" s="3"/>
      <c r="K116" s="3"/>
      <c r="L116" s="3"/>
      <c r="P116" s="3"/>
      <c r="Q116" s="3"/>
    </row>
    <row r="117" spans="1:18" x14ac:dyDescent="0.3">
      <c r="A117" s="9" t="str">
        <f>IF(C117="","",COUNTA($C$4:C117))</f>
        <v/>
      </c>
      <c r="B117" s="10"/>
      <c r="C117" s="9"/>
      <c r="D117" s="9"/>
      <c r="E117" s="9"/>
      <c r="F117" s="9"/>
      <c r="G117" s="9"/>
      <c r="H117" s="9"/>
      <c r="I117" s="9"/>
      <c r="J117" s="10"/>
      <c r="K117" s="10"/>
      <c r="L117" s="10"/>
      <c r="M117" s="9"/>
      <c r="N117" s="9"/>
      <c r="O117" s="9"/>
      <c r="P117" s="10"/>
      <c r="Q117" s="10"/>
      <c r="R117" s="9"/>
    </row>
    <row r="118" spans="1:18" x14ac:dyDescent="0.3">
      <c r="A118" t="str">
        <f>IF(C118="","",COUNTA($C$4:C118))</f>
        <v/>
      </c>
      <c r="B118" s="3"/>
      <c r="J118" s="3"/>
      <c r="K118" s="3"/>
      <c r="L118" s="3"/>
      <c r="P118" s="3"/>
      <c r="Q118" s="3"/>
    </row>
    <row r="119" spans="1:18" x14ac:dyDescent="0.3">
      <c r="A119" s="9" t="str">
        <f>IF(C119="","",COUNTA($C$4:C119))</f>
        <v/>
      </c>
      <c r="B119" s="10"/>
      <c r="C119" s="9"/>
      <c r="D119" s="9"/>
      <c r="E119" s="9"/>
      <c r="F119" s="9"/>
      <c r="G119" s="9"/>
      <c r="H119" s="9"/>
      <c r="I119" s="9"/>
      <c r="J119" s="10"/>
      <c r="K119" s="10"/>
      <c r="L119" s="10"/>
      <c r="M119" s="9"/>
      <c r="N119" s="9"/>
      <c r="O119" s="9"/>
      <c r="P119" s="10"/>
      <c r="Q119" s="10"/>
      <c r="R119" s="9"/>
    </row>
    <row r="120" spans="1:18" x14ac:dyDescent="0.3">
      <c r="A120" t="str">
        <f>IF(C120="","",COUNTA($C$4:C120))</f>
        <v/>
      </c>
      <c r="B120" s="3"/>
      <c r="J120" s="3"/>
      <c r="K120" s="3"/>
      <c r="L120" s="3"/>
      <c r="P120" s="3"/>
      <c r="Q120" s="3"/>
    </row>
    <row r="121" spans="1:18" x14ac:dyDescent="0.3">
      <c r="A121" s="9" t="str">
        <f>IF(C121="","",COUNTA($C$4:C121))</f>
        <v/>
      </c>
      <c r="B121" s="10"/>
      <c r="C121" s="9"/>
      <c r="D121" s="9"/>
      <c r="E121" s="9"/>
      <c r="F121" s="9"/>
      <c r="G121" s="9"/>
      <c r="H121" s="9"/>
      <c r="I121" s="9"/>
      <c r="J121" s="10"/>
      <c r="K121" s="10"/>
      <c r="L121" s="10"/>
      <c r="M121" s="9"/>
      <c r="N121" s="9"/>
      <c r="O121" s="9"/>
      <c r="P121" s="10"/>
      <c r="Q121" s="10"/>
      <c r="R121" s="9"/>
    </row>
    <row r="122" spans="1:18" x14ac:dyDescent="0.3">
      <c r="A122" t="str">
        <f>IF(C122="","",COUNTA($C$4:C122))</f>
        <v/>
      </c>
      <c r="B122" s="3"/>
      <c r="J122" s="3"/>
      <c r="K122" s="3"/>
      <c r="L122" s="3"/>
      <c r="P122" s="3"/>
      <c r="Q122" s="3"/>
    </row>
    <row r="123" spans="1:18" x14ac:dyDescent="0.3">
      <c r="A123" s="9" t="str">
        <f>IF(C123="","",COUNTA($C$4:C123))</f>
        <v/>
      </c>
      <c r="B123" s="10"/>
      <c r="C123" s="9"/>
      <c r="D123" s="9"/>
      <c r="E123" s="9"/>
      <c r="F123" s="9"/>
      <c r="G123" s="9"/>
      <c r="H123" s="9"/>
      <c r="I123" s="9"/>
      <c r="J123" s="10"/>
      <c r="K123" s="10"/>
      <c r="L123" s="10"/>
      <c r="M123" s="9"/>
      <c r="N123" s="9"/>
      <c r="O123" s="9"/>
      <c r="P123" s="10"/>
      <c r="Q123" s="10"/>
      <c r="R123" s="9"/>
    </row>
    <row r="124" spans="1:18" x14ac:dyDescent="0.3">
      <c r="A124" t="str">
        <f>IF(C124="","",COUNTA($C$4:C124))</f>
        <v/>
      </c>
      <c r="B124" s="3"/>
      <c r="J124" s="3"/>
      <c r="K124" s="3"/>
      <c r="L124" s="3"/>
      <c r="P124" s="3"/>
      <c r="Q124" s="3"/>
    </row>
    <row r="125" spans="1:18" x14ac:dyDescent="0.3">
      <c r="A125" s="9" t="str">
        <f>IF(C125="","",COUNTA($C$4:C125))</f>
        <v/>
      </c>
      <c r="B125" s="10"/>
      <c r="C125" s="9"/>
      <c r="D125" s="9"/>
      <c r="E125" s="9"/>
      <c r="F125" s="9"/>
      <c r="G125" s="9"/>
      <c r="H125" s="9"/>
      <c r="I125" s="9"/>
      <c r="J125" s="10"/>
      <c r="K125" s="10"/>
      <c r="L125" s="10"/>
      <c r="M125" s="9"/>
      <c r="N125" s="9"/>
      <c r="O125" s="9"/>
      <c r="P125" s="10"/>
      <c r="Q125" s="10"/>
      <c r="R125" s="9"/>
    </row>
    <row r="126" spans="1:18" x14ac:dyDescent="0.3">
      <c r="A126" t="str">
        <f>IF(C126="","",COUNTA($C$4:C126))</f>
        <v/>
      </c>
      <c r="B126" s="3"/>
      <c r="J126" s="3"/>
      <c r="K126" s="3"/>
      <c r="L126" s="3"/>
      <c r="P126" s="3"/>
      <c r="Q126" s="3"/>
    </row>
    <row r="127" spans="1:18" x14ac:dyDescent="0.3">
      <c r="A127" s="9" t="str">
        <f>IF(C127="","",COUNTA($C$4:C127))</f>
        <v/>
      </c>
      <c r="B127" s="10"/>
      <c r="C127" s="9"/>
      <c r="D127" s="9"/>
      <c r="E127" s="9"/>
      <c r="F127" s="9"/>
      <c r="G127" s="9"/>
      <c r="H127" s="9"/>
      <c r="I127" s="9"/>
      <c r="J127" s="10"/>
      <c r="K127" s="10"/>
      <c r="L127" s="10"/>
      <c r="M127" s="9"/>
      <c r="N127" s="9"/>
      <c r="O127" s="9"/>
      <c r="P127" s="10"/>
      <c r="Q127" s="10"/>
      <c r="R127" s="9"/>
    </row>
    <row r="128" spans="1:18" x14ac:dyDescent="0.3">
      <c r="A128" t="str">
        <f>IF(C128="","",COUNTA($C$4:C128))</f>
        <v/>
      </c>
      <c r="B128" s="3"/>
      <c r="J128" s="3"/>
      <c r="K128" s="3"/>
      <c r="L128" s="3"/>
      <c r="P128" s="3"/>
      <c r="Q128" s="3"/>
    </row>
    <row r="129" spans="1:18" x14ac:dyDescent="0.3">
      <c r="A129" s="9" t="str">
        <f>IF(C129="","",COUNTA($C$4:C129))</f>
        <v/>
      </c>
      <c r="B129" s="10"/>
      <c r="C129" s="9"/>
      <c r="D129" s="9"/>
      <c r="E129" s="9"/>
      <c r="F129" s="9"/>
      <c r="G129" s="9"/>
      <c r="H129" s="9"/>
      <c r="I129" s="9"/>
      <c r="J129" s="10"/>
      <c r="K129" s="10"/>
      <c r="L129" s="10"/>
      <c r="M129" s="9"/>
      <c r="N129" s="9"/>
      <c r="O129" s="9"/>
      <c r="P129" s="10"/>
      <c r="Q129" s="10"/>
      <c r="R129" s="9"/>
    </row>
    <row r="130" spans="1:18" x14ac:dyDescent="0.3">
      <c r="A130" t="str">
        <f>IF(C130="","",COUNTA($C$4:C130))</f>
        <v/>
      </c>
      <c r="B130" s="3"/>
      <c r="J130" s="3"/>
      <c r="K130" s="3"/>
      <c r="L130" s="3"/>
      <c r="P130" s="3"/>
      <c r="Q130" s="3"/>
    </row>
    <row r="131" spans="1:18" x14ac:dyDescent="0.3">
      <c r="A131" s="9" t="str">
        <f>IF(C131="","",COUNTA($C$4:C131))</f>
        <v/>
      </c>
      <c r="B131" s="10"/>
      <c r="C131" s="9"/>
      <c r="D131" s="9"/>
      <c r="E131" s="9"/>
      <c r="F131" s="9"/>
      <c r="G131" s="9"/>
      <c r="H131" s="9"/>
      <c r="I131" s="9"/>
      <c r="J131" s="10"/>
      <c r="K131" s="10"/>
      <c r="L131" s="10"/>
      <c r="M131" s="9"/>
      <c r="N131" s="9"/>
      <c r="O131" s="9"/>
      <c r="P131" s="10"/>
      <c r="Q131" s="10"/>
      <c r="R131" s="9"/>
    </row>
    <row r="132" spans="1:18" x14ac:dyDescent="0.3">
      <c r="A132" t="str">
        <f>IF(C132="","",COUNTA($C$4:C132))</f>
        <v/>
      </c>
      <c r="B132" s="3"/>
      <c r="J132" s="3"/>
      <c r="K132" s="3"/>
      <c r="L132" s="3"/>
      <c r="P132" s="3"/>
      <c r="Q132" s="3"/>
    </row>
    <row r="133" spans="1:18" x14ac:dyDescent="0.3">
      <c r="A133" s="9" t="str">
        <f>IF(C133="","",COUNTA($C$4:C133))</f>
        <v/>
      </c>
      <c r="B133" s="10"/>
      <c r="C133" s="9"/>
      <c r="D133" s="9"/>
      <c r="E133" s="9"/>
      <c r="F133" s="9"/>
      <c r="G133" s="9"/>
      <c r="H133" s="9"/>
      <c r="I133" s="9"/>
      <c r="J133" s="10"/>
      <c r="K133" s="10"/>
      <c r="L133" s="10"/>
      <c r="M133" s="9"/>
      <c r="N133" s="9"/>
      <c r="O133" s="9"/>
      <c r="P133" s="10"/>
      <c r="Q133" s="10"/>
      <c r="R133" s="9"/>
    </row>
    <row r="134" spans="1:18" x14ac:dyDescent="0.3">
      <c r="A134" t="str">
        <f>IF(C134="","",COUNTA($C$4:C134))</f>
        <v/>
      </c>
      <c r="B134" s="3"/>
      <c r="J134" s="3"/>
      <c r="K134" s="3"/>
      <c r="L134" s="3"/>
      <c r="P134" s="3"/>
      <c r="Q134" s="3"/>
    </row>
    <row r="135" spans="1:18" x14ac:dyDescent="0.3">
      <c r="A135" s="9" t="str">
        <f>IF(C135="","",COUNTA($C$4:C135))</f>
        <v/>
      </c>
      <c r="B135" s="10"/>
      <c r="C135" s="9"/>
      <c r="D135" s="9"/>
      <c r="E135" s="9"/>
      <c r="F135" s="9"/>
      <c r="G135" s="9"/>
      <c r="H135" s="9"/>
      <c r="I135" s="9"/>
      <c r="J135" s="10"/>
      <c r="K135" s="10"/>
      <c r="L135" s="10"/>
      <c r="M135" s="9"/>
      <c r="N135" s="9"/>
      <c r="O135" s="9"/>
      <c r="P135" s="10"/>
      <c r="Q135" s="10"/>
      <c r="R135" s="9"/>
    </row>
    <row r="136" spans="1:18" x14ac:dyDescent="0.3">
      <c r="A136" t="str">
        <f>IF(C136="","",COUNTA($C$4:C136))</f>
        <v/>
      </c>
      <c r="B136" s="3"/>
      <c r="J136" s="3"/>
      <c r="K136" s="3"/>
      <c r="L136" s="3"/>
      <c r="P136" s="3"/>
      <c r="Q136" s="3"/>
    </row>
    <row r="137" spans="1:18" x14ac:dyDescent="0.3">
      <c r="A137" s="9" t="str">
        <f>IF(C137="","",COUNTA($C$4:C137))</f>
        <v/>
      </c>
      <c r="B137" s="10"/>
      <c r="C137" s="9"/>
      <c r="D137" s="9"/>
      <c r="E137" s="9"/>
      <c r="F137" s="9"/>
      <c r="G137" s="9"/>
      <c r="H137" s="9"/>
      <c r="I137" s="9"/>
      <c r="J137" s="10"/>
      <c r="K137" s="10"/>
      <c r="L137" s="10"/>
      <c r="M137" s="9"/>
      <c r="N137" s="9"/>
      <c r="O137" s="9"/>
      <c r="P137" s="10"/>
      <c r="Q137" s="10"/>
      <c r="R137" s="9"/>
    </row>
    <row r="138" spans="1:18" x14ac:dyDescent="0.3">
      <c r="A138" t="str">
        <f>IF(C138="","",COUNTA($C$4:C138))</f>
        <v/>
      </c>
      <c r="B138" s="3"/>
      <c r="J138" s="3"/>
      <c r="K138" s="3"/>
      <c r="L138" s="3"/>
      <c r="P138" s="3"/>
      <c r="Q138" s="3"/>
    </row>
    <row r="139" spans="1:18" x14ac:dyDescent="0.3">
      <c r="A139" s="9" t="str">
        <f>IF(C139="","",COUNTA($C$4:C139))</f>
        <v/>
      </c>
      <c r="B139" s="10"/>
      <c r="C139" s="9"/>
      <c r="D139" s="9"/>
      <c r="E139" s="9"/>
      <c r="F139" s="9"/>
      <c r="G139" s="9"/>
      <c r="H139" s="9"/>
      <c r="I139" s="9"/>
      <c r="J139" s="10"/>
      <c r="K139" s="10"/>
      <c r="L139" s="10"/>
      <c r="M139" s="9"/>
      <c r="N139" s="9"/>
      <c r="O139" s="9"/>
      <c r="P139" s="10"/>
      <c r="Q139" s="10"/>
      <c r="R139" s="9"/>
    </row>
    <row r="140" spans="1:18" x14ac:dyDescent="0.3">
      <c r="A140" t="str">
        <f>IF(C140="","",COUNTA($C$4:C140))</f>
        <v/>
      </c>
      <c r="B140" s="3"/>
      <c r="J140" s="3"/>
      <c r="K140" s="3"/>
      <c r="L140" s="3"/>
      <c r="P140" s="3"/>
      <c r="Q140" s="3"/>
    </row>
    <row r="141" spans="1:18" x14ac:dyDescent="0.3">
      <c r="A141" s="9" t="str">
        <f>IF(C141="","",COUNTA($C$4:C141))</f>
        <v/>
      </c>
      <c r="B141" s="10"/>
      <c r="C141" s="9"/>
      <c r="D141" s="9"/>
      <c r="E141" s="9"/>
      <c r="F141" s="9"/>
      <c r="G141" s="9"/>
      <c r="H141" s="9"/>
      <c r="I141" s="9"/>
      <c r="J141" s="10"/>
      <c r="K141" s="10"/>
      <c r="L141" s="10"/>
      <c r="M141" s="9"/>
      <c r="N141" s="9"/>
      <c r="O141" s="9"/>
      <c r="P141" s="10"/>
      <c r="Q141" s="10"/>
      <c r="R141" s="9"/>
    </row>
    <row r="142" spans="1:18" x14ac:dyDescent="0.3">
      <c r="A142" t="str">
        <f>IF(C142="","",COUNTA($C$4:C142))</f>
        <v/>
      </c>
      <c r="B142" s="3"/>
      <c r="J142" s="3"/>
      <c r="K142" s="3"/>
      <c r="L142" s="3"/>
      <c r="P142" s="3"/>
      <c r="Q142" s="3"/>
    </row>
    <row r="143" spans="1:18" x14ac:dyDescent="0.3">
      <c r="A143" s="9" t="str">
        <f>IF(C143="","",COUNTA($C$4:C143))</f>
        <v/>
      </c>
      <c r="B143" s="10"/>
      <c r="C143" s="9"/>
      <c r="D143" s="9"/>
      <c r="E143" s="9"/>
      <c r="F143" s="9"/>
      <c r="G143" s="9"/>
      <c r="H143" s="9"/>
      <c r="I143" s="9"/>
      <c r="J143" s="10"/>
      <c r="K143" s="10"/>
      <c r="L143" s="10"/>
      <c r="M143" s="9"/>
      <c r="N143" s="9"/>
      <c r="O143" s="9"/>
      <c r="P143" s="10"/>
      <c r="Q143" s="10"/>
      <c r="R143" s="9"/>
    </row>
    <row r="144" spans="1:18" x14ac:dyDescent="0.3">
      <c r="A144" t="str">
        <f>IF(C144="","",COUNTA($C$4:C144))</f>
        <v/>
      </c>
      <c r="B144" s="3"/>
      <c r="J144" s="3"/>
      <c r="K144" s="3"/>
      <c r="L144" s="3"/>
      <c r="P144" s="3"/>
      <c r="Q144" s="3"/>
    </row>
    <row r="145" spans="1:18" x14ac:dyDescent="0.3">
      <c r="A145" s="9" t="str">
        <f>IF(C145="","",COUNTA($C$4:C145))</f>
        <v/>
      </c>
      <c r="B145" s="10"/>
      <c r="C145" s="9"/>
      <c r="D145" s="9"/>
      <c r="E145" s="9"/>
      <c r="F145" s="9"/>
      <c r="G145" s="9"/>
      <c r="H145" s="9"/>
      <c r="I145" s="9"/>
      <c r="J145" s="10"/>
      <c r="K145" s="10"/>
      <c r="L145" s="10"/>
      <c r="M145" s="9"/>
      <c r="N145" s="9"/>
      <c r="O145" s="9"/>
      <c r="P145" s="10"/>
      <c r="Q145" s="10"/>
      <c r="R145" s="9"/>
    </row>
    <row r="146" spans="1:18" x14ac:dyDescent="0.3">
      <c r="A146" t="str">
        <f>IF(C146="","",COUNTA($C$4:C146))</f>
        <v/>
      </c>
      <c r="B146" s="3"/>
      <c r="J146" s="3"/>
      <c r="K146" s="3"/>
      <c r="L146" s="3"/>
      <c r="P146" s="3"/>
      <c r="Q146" s="3"/>
    </row>
    <row r="147" spans="1:18" x14ac:dyDescent="0.3">
      <c r="A147" s="9" t="str">
        <f>IF(C147="","",COUNTA($C$4:C147))</f>
        <v/>
      </c>
      <c r="B147" s="10"/>
      <c r="C147" s="9"/>
      <c r="D147" s="9"/>
      <c r="E147" s="9"/>
      <c r="F147" s="9"/>
      <c r="G147" s="9"/>
      <c r="H147" s="9"/>
      <c r="I147" s="9"/>
      <c r="J147" s="10"/>
      <c r="K147" s="10"/>
      <c r="L147" s="10"/>
      <c r="M147" s="9"/>
      <c r="N147" s="9"/>
      <c r="O147" s="9"/>
      <c r="P147" s="10"/>
      <c r="Q147" s="10"/>
      <c r="R147" s="9"/>
    </row>
    <row r="148" spans="1:18" x14ac:dyDescent="0.3">
      <c r="A148" t="str">
        <f>IF(C148="","",COUNTA($C$4:C148))</f>
        <v/>
      </c>
      <c r="B148" s="3"/>
      <c r="J148" s="3"/>
      <c r="K148" s="3"/>
      <c r="L148" s="3"/>
      <c r="P148" s="3"/>
      <c r="Q148" s="3"/>
    </row>
    <row r="149" spans="1:18" x14ac:dyDescent="0.3">
      <c r="A149" s="9" t="str">
        <f>IF(C149="","",COUNTA($C$4:C149))</f>
        <v/>
      </c>
      <c r="B149" s="10"/>
      <c r="C149" s="9"/>
      <c r="D149" s="9"/>
      <c r="E149" s="9"/>
      <c r="F149" s="9"/>
      <c r="G149" s="9"/>
      <c r="H149" s="9"/>
      <c r="I149" s="9"/>
      <c r="J149" s="10"/>
      <c r="K149" s="10"/>
      <c r="L149" s="10"/>
      <c r="M149" s="9"/>
      <c r="N149" s="9"/>
      <c r="O149" s="9"/>
      <c r="P149" s="10"/>
      <c r="Q149" s="10"/>
      <c r="R149" s="9"/>
    </row>
    <row r="150" spans="1:18" x14ac:dyDescent="0.3">
      <c r="A150" t="str">
        <f>IF(C150="","",COUNTA($C$4:C150))</f>
        <v/>
      </c>
      <c r="B150" s="3"/>
      <c r="J150" s="3"/>
      <c r="K150" s="3"/>
      <c r="L150" s="3"/>
      <c r="P150" s="3"/>
      <c r="Q150" s="3"/>
    </row>
    <row r="151" spans="1:18" x14ac:dyDescent="0.3">
      <c r="A151" s="9" t="str">
        <f>IF(C151="","",COUNTA($C$4:C151))</f>
        <v/>
      </c>
      <c r="B151" s="10"/>
      <c r="C151" s="9"/>
      <c r="D151" s="9"/>
      <c r="E151" s="9"/>
      <c r="F151" s="9"/>
      <c r="G151" s="9"/>
      <c r="H151" s="9"/>
      <c r="I151" s="9"/>
      <c r="J151" s="10"/>
      <c r="K151" s="10"/>
      <c r="L151" s="10"/>
      <c r="M151" s="9"/>
      <c r="N151" s="9"/>
      <c r="O151" s="9"/>
      <c r="P151" s="10"/>
      <c r="Q151" s="10"/>
      <c r="R151" s="9"/>
    </row>
    <row r="152" spans="1:18" x14ac:dyDescent="0.3">
      <c r="A152" t="str">
        <f>IF(C152="","",COUNTA($C$4:C152))</f>
        <v/>
      </c>
      <c r="B152" s="3"/>
      <c r="J152" s="3"/>
      <c r="K152" s="3"/>
      <c r="L152" s="3"/>
      <c r="P152" s="3"/>
      <c r="Q152" s="3"/>
    </row>
    <row r="153" spans="1:18" x14ac:dyDescent="0.3">
      <c r="A153" s="9" t="str">
        <f>IF(C153="","",COUNTA($C$4:C153))</f>
        <v/>
      </c>
      <c r="B153" s="10"/>
      <c r="C153" s="9"/>
      <c r="D153" s="9"/>
      <c r="E153" s="9"/>
      <c r="F153" s="9"/>
      <c r="G153" s="9"/>
      <c r="H153" s="9"/>
      <c r="I153" s="9"/>
      <c r="J153" s="10"/>
      <c r="K153" s="10"/>
      <c r="L153" s="10"/>
      <c r="M153" s="9"/>
      <c r="N153" s="9"/>
      <c r="O153" s="9"/>
      <c r="P153" s="10"/>
      <c r="Q153" s="10"/>
      <c r="R153" s="9"/>
    </row>
    <row r="154" spans="1:18" x14ac:dyDescent="0.3">
      <c r="A154" t="str">
        <f>IF(C154="","",COUNTA($C$4:C154))</f>
        <v/>
      </c>
      <c r="B154" s="3"/>
      <c r="J154" s="3"/>
      <c r="K154" s="3"/>
      <c r="L154" s="3"/>
      <c r="P154" s="3"/>
      <c r="Q154" s="3"/>
    </row>
    <row r="155" spans="1:18" x14ac:dyDescent="0.3">
      <c r="A155" s="9" t="str">
        <f>IF(C155="","",COUNTA($C$4:C155))</f>
        <v/>
      </c>
      <c r="B155" s="10"/>
      <c r="C155" s="9"/>
      <c r="D155" s="9"/>
      <c r="E155" s="9"/>
      <c r="F155" s="9"/>
      <c r="G155" s="9"/>
      <c r="H155" s="9"/>
      <c r="I155" s="9"/>
      <c r="J155" s="10"/>
      <c r="K155" s="10"/>
      <c r="L155" s="10"/>
      <c r="M155" s="9"/>
      <c r="N155" s="9"/>
      <c r="O155" s="9"/>
      <c r="P155" s="10"/>
      <c r="Q155" s="10"/>
      <c r="R155" s="9"/>
    </row>
    <row r="156" spans="1:18" x14ac:dyDescent="0.3">
      <c r="A156" t="str">
        <f>IF(C156="","",COUNTA($C$4:C156))</f>
        <v/>
      </c>
      <c r="B156" s="3"/>
      <c r="J156" s="3"/>
      <c r="K156" s="3"/>
      <c r="L156" s="3"/>
      <c r="P156" s="3"/>
      <c r="Q156" s="3"/>
    </row>
    <row r="157" spans="1:18" x14ac:dyDescent="0.3">
      <c r="A157" s="9" t="str">
        <f>IF(C157="","",COUNTA($C$4:C157))</f>
        <v/>
      </c>
      <c r="B157" s="10"/>
      <c r="C157" s="9"/>
      <c r="D157" s="9"/>
      <c r="E157" s="9"/>
      <c r="F157" s="9"/>
      <c r="G157" s="9"/>
      <c r="H157" s="9"/>
      <c r="I157" s="9"/>
      <c r="J157" s="10"/>
      <c r="K157" s="10"/>
      <c r="L157" s="10"/>
      <c r="M157" s="9"/>
      <c r="N157" s="9"/>
      <c r="O157" s="9"/>
      <c r="P157" s="10"/>
      <c r="Q157" s="10"/>
      <c r="R157" s="9"/>
    </row>
    <row r="158" spans="1:18" x14ac:dyDescent="0.3">
      <c r="A158" t="str">
        <f>IF(C158="","",COUNTA($C$4:C158))</f>
        <v/>
      </c>
      <c r="B158" s="3"/>
      <c r="J158" s="3"/>
      <c r="K158" s="3"/>
      <c r="L158" s="3"/>
      <c r="P158" s="3"/>
      <c r="Q158" s="3"/>
    </row>
    <row r="159" spans="1:18" x14ac:dyDescent="0.3">
      <c r="A159" s="9" t="str">
        <f>IF(C159="","",COUNTA($C$4:C159))</f>
        <v/>
      </c>
      <c r="B159" s="10"/>
      <c r="C159" s="9"/>
      <c r="D159" s="9"/>
      <c r="E159" s="9"/>
      <c r="F159" s="9"/>
      <c r="G159" s="9"/>
      <c r="H159" s="9"/>
      <c r="I159" s="9"/>
      <c r="J159" s="10"/>
      <c r="K159" s="10"/>
      <c r="L159" s="10"/>
      <c r="M159" s="9"/>
      <c r="N159" s="9"/>
      <c r="O159" s="9"/>
      <c r="P159" s="10"/>
      <c r="Q159" s="10"/>
      <c r="R159" s="9"/>
    </row>
    <row r="160" spans="1:18" x14ac:dyDescent="0.3">
      <c r="A160" t="str">
        <f>IF(C160="","",COUNTA($C$4:C160))</f>
        <v/>
      </c>
      <c r="B160" s="3"/>
      <c r="J160" s="3"/>
      <c r="K160" s="3"/>
      <c r="L160" s="3"/>
      <c r="P160" s="3"/>
      <c r="Q160" s="3"/>
    </row>
    <row r="161" spans="1:18" x14ac:dyDescent="0.3">
      <c r="A161" s="9" t="str">
        <f>IF(C161="","",COUNTA($C$4:C161))</f>
        <v/>
      </c>
      <c r="B161" s="10"/>
      <c r="C161" s="9"/>
      <c r="D161" s="9"/>
      <c r="E161" s="9"/>
      <c r="F161" s="9"/>
      <c r="G161" s="9"/>
      <c r="H161" s="9"/>
      <c r="I161" s="9"/>
      <c r="J161" s="10"/>
      <c r="K161" s="10"/>
      <c r="L161" s="10"/>
      <c r="M161" s="9"/>
      <c r="N161" s="9"/>
      <c r="O161" s="9"/>
      <c r="P161" s="10"/>
      <c r="Q161" s="10"/>
      <c r="R161" s="9"/>
    </row>
    <row r="162" spans="1:18" x14ac:dyDescent="0.3">
      <c r="A162" t="str">
        <f>IF(C162="","",COUNTA($C$4:C162))</f>
        <v/>
      </c>
      <c r="B162" s="3"/>
      <c r="J162" s="3"/>
      <c r="K162" s="3"/>
      <c r="L162" s="3"/>
      <c r="P162" s="3"/>
      <c r="Q162" s="3"/>
    </row>
    <row r="163" spans="1:18" x14ac:dyDescent="0.3">
      <c r="A163" s="9" t="str">
        <f>IF(C163="","",COUNTA($C$4:C163))</f>
        <v/>
      </c>
      <c r="B163" s="10"/>
      <c r="C163" s="9"/>
      <c r="D163" s="9"/>
      <c r="E163" s="9"/>
      <c r="F163" s="9"/>
      <c r="G163" s="9"/>
      <c r="H163" s="9"/>
      <c r="I163" s="9"/>
      <c r="J163" s="10"/>
      <c r="K163" s="10"/>
      <c r="L163" s="10"/>
      <c r="M163" s="9"/>
      <c r="N163" s="9"/>
      <c r="O163" s="9"/>
      <c r="P163" s="10"/>
      <c r="Q163" s="10"/>
      <c r="R163" s="9"/>
    </row>
    <row r="164" spans="1:18" x14ac:dyDescent="0.3">
      <c r="A164" t="str">
        <f>IF(C164="","",COUNTA($C$4:C164))</f>
        <v/>
      </c>
      <c r="B164" s="3"/>
      <c r="J164" s="3"/>
      <c r="K164" s="3"/>
      <c r="L164" s="3"/>
      <c r="P164" s="3"/>
      <c r="Q164" s="3"/>
    </row>
    <row r="165" spans="1:18" x14ac:dyDescent="0.3">
      <c r="A165" s="9" t="str">
        <f>IF(C165="","",COUNTA($C$4:C165))</f>
        <v/>
      </c>
      <c r="B165" s="10"/>
      <c r="C165" s="9"/>
      <c r="D165" s="9"/>
      <c r="E165" s="9"/>
      <c r="F165" s="9"/>
      <c r="G165" s="9"/>
      <c r="H165" s="9"/>
      <c r="I165" s="9"/>
      <c r="J165" s="10"/>
      <c r="K165" s="10"/>
      <c r="L165" s="10"/>
      <c r="M165" s="9"/>
      <c r="N165" s="9"/>
      <c r="O165" s="9"/>
      <c r="P165" s="10"/>
      <c r="Q165" s="10"/>
      <c r="R165" s="9"/>
    </row>
    <row r="166" spans="1:18" x14ac:dyDescent="0.3">
      <c r="A166" t="str">
        <f>IF(C166="","",COUNTA($C$4:C166))</f>
        <v/>
      </c>
      <c r="B166" s="3"/>
      <c r="J166" s="3"/>
      <c r="K166" s="3"/>
      <c r="L166" s="3"/>
      <c r="P166" s="3"/>
      <c r="Q166" s="3"/>
    </row>
    <row r="167" spans="1:18" x14ac:dyDescent="0.3">
      <c r="A167" s="9" t="str">
        <f>IF(C167="","",COUNTA($C$4:C167))</f>
        <v/>
      </c>
      <c r="B167" s="10"/>
      <c r="C167" s="9"/>
      <c r="D167" s="9"/>
      <c r="E167" s="9"/>
      <c r="F167" s="9"/>
      <c r="G167" s="9"/>
      <c r="H167" s="9"/>
      <c r="I167" s="9"/>
      <c r="J167" s="10"/>
      <c r="K167" s="10"/>
      <c r="L167" s="10"/>
      <c r="M167" s="9"/>
      <c r="N167" s="9"/>
      <c r="O167" s="9"/>
      <c r="P167" s="10"/>
      <c r="Q167" s="10"/>
      <c r="R167" s="9"/>
    </row>
    <row r="168" spans="1:18" x14ac:dyDescent="0.3">
      <c r="A168" t="str">
        <f>IF(C168="","",COUNTA($C$4:C168))</f>
        <v/>
      </c>
      <c r="B168" s="3"/>
      <c r="J168" s="3"/>
      <c r="K168" s="3"/>
      <c r="L168" s="3"/>
      <c r="P168" s="3"/>
      <c r="Q168" s="3"/>
    </row>
    <row r="169" spans="1:18" x14ac:dyDescent="0.3">
      <c r="A169" s="9" t="str">
        <f>IF(C169="","",COUNTA($C$4:C169))</f>
        <v/>
      </c>
      <c r="B169" s="10"/>
      <c r="C169" s="9"/>
      <c r="D169" s="9"/>
      <c r="E169" s="9"/>
      <c r="F169" s="9"/>
      <c r="G169" s="9"/>
      <c r="H169" s="9"/>
      <c r="I169" s="9"/>
      <c r="J169" s="10"/>
      <c r="K169" s="10"/>
      <c r="L169" s="10"/>
      <c r="M169" s="9"/>
      <c r="N169" s="9"/>
      <c r="O169" s="9"/>
      <c r="P169" s="10"/>
      <c r="Q169" s="10"/>
      <c r="R169" s="9"/>
    </row>
    <row r="170" spans="1:18" x14ac:dyDescent="0.3">
      <c r="A170" t="str">
        <f>IF(C170="","",COUNTA($C$4:C170))</f>
        <v/>
      </c>
      <c r="B170" s="3"/>
      <c r="J170" s="3"/>
      <c r="K170" s="3"/>
      <c r="L170" s="3"/>
      <c r="P170" s="3"/>
      <c r="Q170" s="3"/>
    </row>
    <row r="171" spans="1:18" x14ac:dyDescent="0.3">
      <c r="A171" s="9" t="str">
        <f>IF(C171="","",COUNTA($C$4:C171))</f>
        <v/>
      </c>
      <c r="B171" s="10"/>
      <c r="C171" s="9"/>
      <c r="D171" s="9"/>
      <c r="E171" s="9"/>
      <c r="F171" s="9"/>
      <c r="G171" s="9"/>
      <c r="H171" s="9"/>
      <c r="I171" s="9"/>
      <c r="J171" s="10"/>
      <c r="K171" s="10"/>
      <c r="L171" s="10"/>
      <c r="M171" s="9"/>
      <c r="N171" s="9"/>
      <c r="O171" s="9"/>
      <c r="P171" s="10"/>
      <c r="Q171" s="10"/>
      <c r="R171" s="9"/>
    </row>
    <row r="172" spans="1:18" x14ac:dyDescent="0.3">
      <c r="A172" t="str">
        <f>IF(C172="","",COUNTA($C$4:C172))</f>
        <v/>
      </c>
      <c r="B172" s="3"/>
      <c r="J172" s="3"/>
      <c r="K172" s="3"/>
      <c r="L172" s="3"/>
      <c r="P172" s="3"/>
      <c r="Q172" s="3"/>
    </row>
    <row r="173" spans="1:18" x14ac:dyDescent="0.3">
      <c r="A173" s="9" t="str">
        <f>IF(C173="","",COUNTA($C$4:C173))</f>
        <v/>
      </c>
      <c r="B173" s="10"/>
      <c r="C173" s="9"/>
      <c r="D173" s="9"/>
      <c r="E173" s="9"/>
      <c r="F173" s="9"/>
      <c r="G173" s="9"/>
      <c r="H173" s="9"/>
      <c r="I173" s="9"/>
      <c r="J173" s="10"/>
      <c r="K173" s="10"/>
      <c r="L173" s="10"/>
      <c r="M173" s="9"/>
      <c r="N173" s="9"/>
      <c r="O173" s="9"/>
      <c r="P173" s="10"/>
      <c r="Q173" s="10"/>
      <c r="R173" s="9"/>
    </row>
    <row r="174" spans="1:18" x14ac:dyDescent="0.3">
      <c r="A174" t="str">
        <f>IF(C174="","",COUNTA($C$4:C174))</f>
        <v/>
      </c>
      <c r="B174" s="3"/>
      <c r="J174" s="3"/>
      <c r="K174" s="3"/>
      <c r="L174" s="3"/>
      <c r="P174" s="3"/>
      <c r="Q174" s="3"/>
    </row>
    <row r="175" spans="1:18" x14ac:dyDescent="0.3">
      <c r="A175" s="9" t="str">
        <f>IF(C175="","",COUNTA($C$4:C175))</f>
        <v/>
      </c>
      <c r="B175" s="10"/>
      <c r="C175" s="9"/>
      <c r="D175" s="9"/>
      <c r="E175" s="9"/>
      <c r="F175" s="9"/>
      <c r="G175" s="9"/>
      <c r="H175" s="9"/>
      <c r="I175" s="9"/>
      <c r="J175" s="10"/>
      <c r="K175" s="10"/>
      <c r="L175" s="10"/>
      <c r="M175" s="9"/>
      <c r="N175" s="9"/>
      <c r="O175" s="9"/>
      <c r="P175" s="10"/>
      <c r="Q175" s="10"/>
      <c r="R175" s="9"/>
    </row>
    <row r="176" spans="1:18" x14ac:dyDescent="0.3">
      <c r="A176" t="str">
        <f>IF(C176="","",COUNTA($C$4:C176))</f>
        <v/>
      </c>
      <c r="B176" s="3"/>
      <c r="J176" s="3"/>
      <c r="K176" s="3"/>
      <c r="L176" s="3"/>
      <c r="P176" s="3"/>
      <c r="Q176" s="3"/>
    </row>
    <row r="177" spans="1:18" x14ac:dyDescent="0.3">
      <c r="A177" s="9" t="str">
        <f>IF(C177="","",COUNTA($C$4:C177))</f>
        <v/>
      </c>
      <c r="B177" s="10"/>
      <c r="C177" s="9"/>
      <c r="D177" s="9"/>
      <c r="E177" s="9"/>
      <c r="F177" s="9"/>
      <c r="G177" s="9"/>
      <c r="H177" s="9"/>
      <c r="I177" s="9"/>
      <c r="J177" s="10"/>
      <c r="K177" s="10"/>
      <c r="L177" s="10"/>
      <c r="M177" s="9"/>
      <c r="N177" s="9"/>
      <c r="O177" s="9"/>
      <c r="P177" s="10"/>
      <c r="Q177" s="10"/>
      <c r="R177" s="9"/>
    </row>
    <row r="178" spans="1:18" x14ac:dyDescent="0.3">
      <c r="A178" t="str">
        <f>IF(C178="","",COUNTA($C$4:C178))</f>
        <v/>
      </c>
      <c r="B178" s="3"/>
      <c r="J178" s="3"/>
      <c r="K178" s="3"/>
      <c r="L178" s="3"/>
      <c r="P178" s="3"/>
      <c r="Q178" s="3"/>
    </row>
    <row r="179" spans="1:18" x14ac:dyDescent="0.3">
      <c r="A179" s="9" t="str">
        <f>IF(C179="","",COUNTA($C$4:C179))</f>
        <v/>
      </c>
      <c r="B179" s="10"/>
      <c r="C179" s="9"/>
      <c r="D179" s="9"/>
      <c r="E179" s="9"/>
      <c r="F179" s="9"/>
      <c r="G179" s="9"/>
      <c r="H179" s="9"/>
      <c r="I179" s="9"/>
      <c r="J179" s="10"/>
      <c r="K179" s="10"/>
      <c r="L179" s="10"/>
      <c r="M179" s="9"/>
      <c r="N179" s="9"/>
      <c r="O179" s="9"/>
      <c r="P179" s="10"/>
      <c r="Q179" s="10"/>
      <c r="R179" s="9"/>
    </row>
    <row r="180" spans="1:18" x14ac:dyDescent="0.3">
      <c r="A180" t="str">
        <f>IF(C180="","",COUNTA($C$4:C180))</f>
        <v/>
      </c>
      <c r="B180" s="3"/>
      <c r="J180" s="3"/>
      <c r="K180" s="3"/>
      <c r="L180" s="3"/>
      <c r="P180" s="3"/>
      <c r="Q180" s="3"/>
    </row>
    <row r="181" spans="1:18" x14ac:dyDescent="0.3">
      <c r="A181" s="9" t="str">
        <f>IF(C181="","",COUNTA($C$4:C181))</f>
        <v/>
      </c>
      <c r="B181" s="10"/>
      <c r="C181" s="9"/>
      <c r="D181" s="9"/>
      <c r="E181" s="9"/>
      <c r="F181" s="9"/>
      <c r="G181" s="9"/>
      <c r="H181" s="9"/>
      <c r="I181" s="9"/>
      <c r="J181" s="10"/>
      <c r="K181" s="10"/>
      <c r="L181" s="10"/>
      <c r="M181" s="9"/>
      <c r="N181" s="9"/>
      <c r="O181" s="9"/>
      <c r="P181" s="10"/>
      <c r="Q181" s="10"/>
      <c r="R181" s="9"/>
    </row>
    <row r="182" spans="1:18" x14ac:dyDescent="0.3">
      <c r="A182" t="str">
        <f>IF(C182="","",COUNTA($C$4:C182))</f>
        <v/>
      </c>
      <c r="B182" s="3"/>
      <c r="J182" s="3"/>
      <c r="K182" s="3"/>
      <c r="L182" s="3"/>
      <c r="P182" s="3"/>
      <c r="Q182" s="3"/>
    </row>
    <row r="183" spans="1:18" x14ac:dyDescent="0.3">
      <c r="A183" s="9" t="str">
        <f>IF(C183="","",COUNTA($C$4:C183))</f>
        <v/>
      </c>
      <c r="B183" s="10"/>
      <c r="C183" s="9"/>
      <c r="D183" s="9"/>
      <c r="E183" s="9"/>
      <c r="F183" s="9"/>
      <c r="G183" s="9"/>
      <c r="H183" s="9"/>
      <c r="I183" s="9"/>
      <c r="J183" s="10"/>
      <c r="K183" s="10"/>
      <c r="L183" s="10"/>
      <c r="M183" s="9"/>
      <c r="N183" s="9"/>
      <c r="O183" s="9"/>
      <c r="P183" s="10"/>
      <c r="Q183" s="10"/>
      <c r="R183" s="9"/>
    </row>
    <row r="184" spans="1:18" x14ac:dyDescent="0.3">
      <c r="A184" t="str">
        <f>IF(C184="","",COUNTA($C$4:C184))</f>
        <v/>
      </c>
      <c r="B184" s="3"/>
      <c r="J184" s="3"/>
      <c r="K184" s="3"/>
      <c r="L184" s="3"/>
      <c r="P184" s="3"/>
      <c r="Q184" s="3"/>
    </row>
    <row r="185" spans="1:18" x14ac:dyDescent="0.3">
      <c r="A185" s="9" t="str">
        <f>IF(C185="","",COUNTA($C$4:C185))</f>
        <v/>
      </c>
      <c r="B185" s="10"/>
      <c r="C185" s="9"/>
      <c r="D185" s="9"/>
      <c r="E185" s="9"/>
      <c r="F185" s="9"/>
      <c r="G185" s="9"/>
      <c r="H185" s="9"/>
      <c r="I185" s="9"/>
      <c r="J185" s="10"/>
      <c r="K185" s="10"/>
      <c r="L185" s="10"/>
      <c r="M185" s="9"/>
      <c r="N185" s="9"/>
      <c r="O185" s="9"/>
      <c r="P185" s="10"/>
      <c r="Q185" s="10"/>
      <c r="R185" s="9"/>
    </row>
    <row r="186" spans="1:18" x14ac:dyDescent="0.3">
      <c r="A186" t="str">
        <f>IF(C186="","",COUNTA($C$4:C186))</f>
        <v/>
      </c>
      <c r="B186" s="3"/>
      <c r="J186" s="3"/>
      <c r="K186" s="3"/>
      <c r="L186" s="3"/>
      <c r="P186" s="3"/>
      <c r="Q186" s="3"/>
    </row>
    <row r="187" spans="1:18" x14ac:dyDescent="0.3">
      <c r="A187" s="9" t="str">
        <f>IF(C187="","",COUNTA($C$4:C187))</f>
        <v/>
      </c>
      <c r="B187" s="10"/>
      <c r="C187" s="9"/>
      <c r="D187" s="9"/>
      <c r="E187" s="9"/>
      <c r="F187" s="9"/>
      <c r="G187" s="9"/>
      <c r="H187" s="9"/>
      <c r="I187" s="9"/>
      <c r="J187" s="10"/>
      <c r="K187" s="10"/>
      <c r="L187" s="10"/>
      <c r="M187" s="9"/>
      <c r="N187" s="9"/>
      <c r="O187" s="9"/>
      <c r="P187" s="10"/>
      <c r="Q187" s="10"/>
      <c r="R187" s="9"/>
    </row>
    <row r="188" spans="1:18" x14ac:dyDescent="0.3">
      <c r="A188" t="str">
        <f>IF(C188="","",COUNTA($C$4:C188))</f>
        <v/>
      </c>
      <c r="B188" s="3"/>
      <c r="J188" s="3"/>
      <c r="K188" s="3"/>
      <c r="L188" s="3"/>
      <c r="P188" s="3"/>
      <c r="Q188" s="3"/>
    </row>
    <row r="189" spans="1:18" x14ac:dyDescent="0.3">
      <c r="A189" s="9" t="str">
        <f>IF(C189="","",COUNTA($C$4:C189))</f>
        <v/>
      </c>
      <c r="B189" s="10"/>
      <c r="C189" s="9"/>
      <c r="D189" s="9"/>
      <c r="E189" s="9"/>
      <c r="F189" s="9"/>
      <c r="G189" s="9"/>
      <c r="H189" s="9"/>
      <c r="I189" s="9"/>
      <c r="J189" s="10"/>
      <c r="K189" s="10"/>
      <c r="L189" s="10"/>
      <c r="M189" s="9"/>
      <c r="N189" s="9"/>
      <c r="O189" s="9"/>
      <c r="P189" s="10"/>
      <c r="Q189" s="10"/>
      <c r="R189" s="9"/>
    </row>
    <row r="190" spans="1:18" x14ac:dyDescent="0.3">
      <c r="A190" t="str">
        <f>IF(C190="","",COUNTA($C$4:C190))</f>
        <v/>
      </c>
      <c r="B190" s="3"/>
      <c r="J190" s="3"/>
      <c r="K190" s="3"/>
      <c r="L190" s="3"/>
      <c r="P190" s="3"/>
      <c r="Q190" s="3"/>
    </row>
    <row r="191" spans="1:18" x14ac:dyDescent="0.3">
      <c r="A191" s="9" t="str">
        <f>IF(C191="","",COUNTA($C$4:C191))</f>
        <v/>
      </c>
      <c r="B191" s="10"/>
      <c r="C191" s="9"/>
      <c r="D191" s="9"/>
      <c r="E191" s="9"/>
      <c r="F191" s="9"/>
      <c r="G191" s="9"/>
      <c r="H191" s="9"/>
      <c r="I191" s="9"/>
      <c r="J191" s="10"/>
      <c r="K191" s="10"/>
      <c r="L191" s="10"/>
      <c r="M191" s="9"/>
      <c r="N191" s="9"/>
      <c r="O191" s="9"/>
      <c r="P191" s="10"/>
      <c r="Q191" s="10"/>
      <c r="R191" s="9"/>
    </row>
    <row r="192" spans="1:18" x14ac:dyDescent="0.3">
      <c r="A192" t="str">
        <f>IF(C192="","",COUNTA($C$4:C192))</f>
        <v/>
      </c>
      <c r="B192" s="3"/>
      <c r="J192" s="3"/>
      <c r="K192" s="3"/>
      <c r="L192" s="3"/>
      <c r="P192" s="3"/>
      <c r="Q192" s="3"/>
    </row>
    <row r="193" spans="1:18" x14ac:dyDescent="0.3">
      <c r="A193" s="9" t="str">
        <f>IF(C193="","",COUNTA($C$4:C193))</f>
        <v/>
      </c>
      <c r="B193" s="10"/>
      <c r="C193" s="9"/>
      <c r="D193" s="9"/>
      <c r="E193" s="9"/>
      <c r="F193" s="9"/>
      <c r="G193" s="9"/>
      <c r="H193" s="9"/>
      <c r="I193" s="9"/>
      <c r="J193" s="10"/>
      <c r="K193" s="10"/>
      <c r="L193" s="10"/>
      <c r="M193" s="9"/>
      <c r="N193" s="9"/>
      <c r="O193" s="9"/>
      <c r="P193" s="10"/>
      <c r="Q193" s="10"/>
      <c r="R193" s="9"/>
    </row>
    <row r="194" spans="1:18" x14ac:dyDescent="0.3">
      <c r="A194" t="str">
        <f>IF(C194="","",COUNTA($C$4:C194))</f>
        <v/>
      </c>
      <c r="B194" s="3"/>
      <c r="J194" s="3"/>
      <c r="K194" s="3"/>
      <c r="L194" s="3"/>
      <c r="P194" s="3"/>
      <c r="Q194" s="3"/>
    </row>
    <row r="195" spans="1:18" x14ac:dyDescent="0.3">
      <c r="A195" s="9" t="str">
        <f>IF(C195="","",COUNTA($C$4:C195))</f>
        <v/>
      </c>
      <c r="B195" s="10"/>
      <c r="C195" s="9"/>
      <c r="D195" s="9"/>
      <c r="E195" s="9"/>
      <c r="F195" s="9"/>
      <c r="G195" s="9"/>
      <c r="H195" s="9"/>
      <c r="I195" s="9"/>
      <c r="J195" s="10"/>
      <c r="K195" s="10"/>
      <c r="L195" s="10"/>
      <c r="M195" s="9"/>
      <c r="N195" s="9"/>
      <c r="O195" s="9"/>
      <c r="P195" s="10"/>
      <c r="Q195" s="10"/>
      <c r="R195" s="9"/>
    </row>
    <row r="196" spans="1:18" x14ac:dyDescent="0.3">
      <c r="A196" t="str">
        <f>IF(C196="","",COUNTA($C$4:C196))</f>
        <v/>
      </c>
      <c r="B196" s="3"/>
      <c r="J196" s="3"/>
      <c r="K196" s="3"/>
      <c r="L196" s="3"/>
      <c r="P196" s="3"/>
      <c r="Q196" s="3"/>
    </row>
    <row r="197" spans="1:18" x14ac:dyDescent="0.3">
      <c r="A197" s="9" t="str">
        <f>IF(C197="","",COUNTA($C$4:C197))</f>
        <v/>
      </c>
      <c r="B197" s="10"/>
      <c r="C197" s="9"/>
      <c r="D197" s="9"/>
      <c r="E197" s="9"/>
      <c r="F197" s="9"/>
      <c r="G197" s="9"/>
      <c r="H197" s="9"/>
      <c r="I197" s="9"/>
      <c r="J197" s="10"/>
      <c r="K197" s="10"/>
      <c r="L197" s="10"/>
      <c r="M197" s="9"/>
      <c r="N197" s="9"/>
      <c r="O197" s="9"/>
      <c r="P197" s="10"/>
      <c r="Q197" s="10"/>
      <c r="R197" s="9"/>
    </row>
    <row r="198" spans="1:18" x14ac:dyDescent="0.3">
      <c r="A198" t="str">
        <f>IF(C198="","",COUNTA($C$4:C198))</f>
        <v/>
      </c>
      <c r="B198" s="3"/>
      <c r="J198" s="3"/>
      <c r="K198" s="3"/>
      <c r="L198" s="3"/>
      <c r="P198" s="3"/>
      <c r="Q198" s="3"/>
    </row>
    <row r="199" spans="1:18" x14ac:dyDescent="0.3">
      <c r="A199" s="9" t="str">
        <f>IF(C199="","",COUNTA($C$4:C199))</f>
        <v/>
      </c>
      <c r="B199" s="10"/>
      <c r="C199" s="9"/>
      <c r="D199" s="9"/>
      <c r="E199" s="9"/>
      <c r="F199" s="9"/>
      <c r="G199" s="9"/>
      <c r="H199" s="9"/>
      <c r="I199" s="9"/>
      <c r="J199" s="10"/>
      <c r="K199" s="10"/>
      <c r="L199" s="10"/>
      <c r="M199" s="9"/>
      <c r="N199" s="9"/>
      <c r="O199" s="9"/>
      <c r="P199" s="10"/>
      <c r="Q199" s="10"/>
      <c r="R199" s="9"/>
    </row>
    <row r="200" spans="1:18" x14ac:dyDescent="0.3">
      <c r="A200" t="str">
        <f>IF(C200="","",COUNTA($C$4:C200))</f>
        <v/>
      </c>
      <c r="B200" s="3"/>
      <c r="J200" s="3"/>
      <c r="K200" s="3"/>
      <c r="L200" s="3"/>
      <c r="P200" s="3"/>
      <c r="Q200" s="3"/>
    </row>
    <row r="201" spans="1:18" x14ac:dyDescent="0.3">
      <c r="A201" s="9" t="str">
        <f>IF(C201="","",COUNTA($C$4:C201))</f>
        <v/>
      </c>
      <c r="B201" s="10"/>
      <c r="C201" s="9"/>
      <c r="D201" s="9"/>
      <c r="E201" s="9"/>
      <c r="F201" s="9"/>
      <c r="G201" s="9"/>
      <c r="H201" s="9"/>
      <c r="I201" s="9"/>
      <c r="J201" s="10"/>
      <c r="K201" s="10"/>
      <c r="L201" s="10"/>
      <c r="M201" s="9"/>
      <c r="N201" s="9"/>
      <c r="O201" s="9"/>
      <c r="P201" s="10"/>
      <c r="Q201" s="10"/>
      <c r="R201" s="9"/>
    </row>
    <row r="202" spans="1:18" x14ac:dyDescent="0.3">
      <c r="A202" t="str">
        <f>IF(C202="","",COUNTA($C$4:C202))</f>
        <v/>
      </c>
      <c r="B202" s="3"/>
      <c r="J202" s="3"/>
      <c r="K202" s="3"/>
      <c r="L202" s="3"/>
      <c r="P202" s="3"/>
      <c r="Q202" s="3"/>
    </row>
    <row r="203" spans="1:18" x14ac:dyDescent="0.3">
      <c r="A203" s="9" t="str">
        <f>IF(C203="","",COUNTA($C$4:C203))</f>
        <v/>
      </c>
      <c r="B203" s="10"/>
      <c r="C203" s="9"/>
      <c r="D203" s="9"/>
      <c r="E203" s="9"/>
      <c r="F203" s="9"/>
      <c r="G203" s="9"/>
      <c r="H203" s="9"/>
      <c r="I203" s="9"/>
      <c r="J203" s="10"/>
      <c r="K203" s="10"/>
      <c r="L203" s="10"/>
      <c r="M203" s="9"/>
      <c r="N203" s="9"/>
      <c r="O203" s="9"/>
      <c r="P203" s="10"/>
      <c r="Q203" s="10"/>
      <c r="R203" s="9"/>
    </row>
    <row r="204" spans="1:18" x14ac:dyDescent="0.3">
      <c r="A204" t="str">
        <f>IF(C204="","",COUNTA($C$4:C204))</f>
        <v/>
      </c>
      <c r="B204" s="3"/>
      <c r="J204" s="3"/>
      <c r="K204" s="3"/>
      <c r="L204" s="3"/>
      <c r="P204" s="3"/>
      <c r="Q204" s="3"/>
    </row>
    <row r="205" spans="1:18" x14ac:dyDescent="0.3">
      <c r="A205" s="9" t="str">
        <f>IF(C205="","",COUNTA($C$4:C205))</f>
        <v/>
      </c>
      <c r="B205" s="10"/>
      <c r="C205" s="9"/>
      <c r="D205" s="9"/>
      <c r="E205" s="9"/>
      <c r="F205" s="9"/>
      <c r="G205" s="9"/>
      <c r="H205" s="9"/>
      <c r="I205" s="9"/>
      <c r="J205" s="10"/>
      <c r="K205" s="10"/>
      <c r="L205" s="10"/>
      <c r="M205" s="9"/>
      <c r="N205" s="9"/>
      <c r="O205" s="9"/>
      <c r="P205" s="10"/>
      <c r="Q205" s="10"/>
      <c r="R205" s="9"/>
    </row>
    <row r="206" spans="1:18" x14ac:dyDescent="0.3">
      <c r="A206" t="str">
        <f>IF(C206="","",COUNTA($C$4:C206))</f>
        <v/>
      </c>
      <c r="B206" s="3"/>
      <c r="J206" s="3"/>
      <c r="K206" s="3"/>
      <c r="L206" s="3"/>
      <c r="P206" s="3"/>
      <c r="Q206" s="3"/>
    </row>
    <row r="207" spans="1:18" x14ac:dyDescent="0.3">
      <c r="A207" s="9" t="str">
        <f>IF(C207="","",COUNTA($C$4:C207))</f>
        <v/>
      </c>
      <c r="B207" s="10"/>
      <c r="C207" s="9"/>
      <c r="D207" s="9"/>
      <c r="E207" s="9"/>
      <c r="F207" s="9"/>
      <c r="G207" s="9"/>
      <c r="H207" s="9"/>
      <c r="I207" s="9"/>
      <c r="J207" s="10"/>
      <c r="K207" s="10"/>
      <c r="L207" s="10"/>
      <c r="M207" s="9"/>
      <c r="N207" s="9"/>
      <c r="O207" s="9"/>
      <c r="P207" s="10"/>
      <c r="Q207" s="10"/>
      <c r="R207" s="9"/>
    </row>
    <row r="208" spans="1:18" x14ac:dyDescent="0.3">
      <c r="A208" t="str">
        <f>IF(C208="","",COUNTA($C$4:C208))</f>
        <v/>
      </c>
      <c r="B208" s="3"/>
      <c r="J208" s="3"/>
      <c r="K208" s="3"/>
      <c r="L208" s="3"/>
      <c r="P208" s="3"/>
      <c r="Q208" s="3"/>
    </row>
    <row r="209" spans="1:18" x14ac:dyDescent="0.3">
      <c r="A209" s="9" t="str">
        <f>IF(C209="","",COUNTA($C$4:C209))</f>
        <v/>
      </c>
      <c r="B209" s="10"/>
      <c r="C209" s="9"/>
      <c r="D209" s="9"/>
      <c r="E209" s="9"/>
      <c r="F209" s="9"/>
      <c r="G209" s="9"/>
      <c r="H209" s="9"/>
      <c r="I209" s="9"/>
      <c r="J209" s="10"/>
      <c r="K209" s="10"/>
      <c r="L209" s="10"/>
      <c r="M209" s="9"/>
      <c r="N209" s="9"/>
      <c r="O209" s="9"/>
      <c r="P209" s="10"/>
      <c r="Q209" s="10"/>
      <c r="R209" s="9"/>
    </row>
    <row r="210" spans="1:18" x14ac:dyDescent="0.3">
      <c r="A210" t="str">
        <f>IF(C210="","",COUNTA($C$4:C210))</f>
        <v/>
      </c>
      <c r="B210" s="3"/>
      <c r="J210" s="3"/>
      <c r="K210" s="3"/>
      <c r="L210" s="3"/>
      <c r="P210" s="3"/>
      <c r="Q210" s="3"/>
    </row>
    <row r="211" spans="1:18" x14ac:dyDescent="0.3">
      <c r="A211" s="9" t="str">
        <f>IF(C211="","",COUNTA($C$4:C211))</f>
        <v/>
      </c>
      <c r="B211" s="10"/>
      <c r="C211" s="9"/>
      <c r="D211" s="9"/>
      <c r="E211" s="9"/>
      <c r="F211" s="9"/>
      <c r="G211" s="9"/>
      <c r="H211" s="9"/>
      <c r="I211" s="9"/>
      <c r="J211" s="10"/>
      <c r="K211" s="10"/>
      <c r="L211" s="10"/>
      <c r="M211" s="9"/>
      <c r="N211" s="9"/>
      <c r="O211" s="9"/>
      <c r="P211" s="10"/>
      <c r="Q211" s="10"/>
      <c r="R211" s="9"/>
    </row>
    <row r="212" spans="1:18" x14ac:dyDescent="0.3">
      <c r="A212" t="str">
        <f>IF(C212="","",COUNTA($C$4:C212))</f>
        <v/>
      </c>
      <c r="B212" s="3"/>
      <c r="J212" s="3"/>
      <c r="K212" s="3"/>
      <c r="L212" s="3"/>
      <c r="P212" s="3"/>
      <c r="Q212" s="3"/>
    </row>
    <row r="213" spans="1:18" x14ac:dyDescent="0.3">
      <c r="A213" s="9" t="str">
        <f>IF(C213="","",COUNTA($C$4:C213))</f>
        <v/>
      </c>
      <c r="B213" s="10"/>
      <c r="C213" s="9"/>
      <c r="D213" s="9"/>
      <c r="E213" s="9"/>
      <c r="F213" s="9"/>
      <c r="G213" s="9"/>
      <c r="H213" s="9"/>
      <c r="I213" s="9"/>
      <c r="J213" s="10"/>
      <c r="K213" s="10"/>
      <c r="L213" s="10"/>
      <c r="M213" s="9"/>
      <c r="N213" s="9"/>
      <c r="O213" s="9"/>
      <c r="P213" s="10"/>
      <c r="Q213" s="10"/>
      <c r="R213" s="9"/>
    </row>
    <row r="214" spans="1:18" x14ac:dyDescent="0.3">
      <c r="A214" t="str">
        <f>IF(C214="","",COUNTA($C$4:C214))</f>
        <v/>
      </c>
      <c r="B214" s="3"/>
      <c r="J214" s="3"/>
      <c r="K214" s="3"/>
      <c r="L214" s="3"/>
      <c r="P214" s="3"/>
      <c r="Q214" s="3"/>
    </row>
    <row r="215" spans="1:18" x14ac:dyDescent="0.3">
      <c r="A215" s="9" t="str">
        <f>IF(C215="","",COUNTA($C$4:C215))</f>
        <v/>
      </c>
      <c r="B215" s="10"/>
      <c r="C215" s="9"/>
      <c r="D215" s="9"/>
      <c r="E215" s="9"/>
      <c r="F215" s="9"/>
      <c r="G215" s="9"/>
      <c r="H215" s="9"/>
      <c r="I215" s="9"/>
      <c r="J215" s="10"/>
      <c r="K215" s="10"/>
      <c r="L215" s="10"/>
      <c r="M215" s="9"/>
      <c r="N215" s="9"/>
      <c r="O215" s="9"/>
      <c r="P215" s="10"/>
      <c r="Q215" s="10"/>
      <c r="R215" s="9"/>
    </row>
    <row r="216" spans="1:18" x14ac:dyDescent="0.3">
      <c r="A216" t="str">
        <f>IF(C216="","",COUNTA($C$4:C216))</f>
        <v/>
      </c>
      <c r="B216" s="3"/>
      <c r="J216" s="3"/>
      <c r="K216" s="3"/>
      <c r="L216" s="3"/>
      <c r="P216" s="3"/>
      <c r="Q216" s="3"/>
    </row>
    <row r="217" spans="1:18" x14ac:dyDescent="0.3">
      <c r="A217" s="9" t="str">
        <f>IF(C217="","",COUNTA($C$4:C217))</f>
        <v/>
      </c>
      <c r="B217" s="10"/>
      <c r="C217" s="9"/>
      <c r="D217" s="9"/>
      <c r="E217" s="9"/>
      <c r="F217" s="9"/>
      <c r="G217" s="9"/>
      <c r="H217" s="9"/>
      <c r="I217" s="9"/>
      <c r="J217" s="10"/>
      <c r="K217" s="10"/>
      <c r="L217" s="10"/>
      <c r="M217" s="9"/>
      <c r="N217" s="9"/>
      <c r="O217" s="9"/>
      <c r="P217" s="10"/>
      <c r="Q217" s="10"/>
      <c r="R217" s="9"/>
    </row>
    <row r="218" spans="1:18" x14ac:dyDescent="0.3">
      <c r="A218" t="str">
        <f>IF(C218="","",COUNTA($C$4:C218))</f>
        <v/>
      </c>
      <c r="B218" s="3"/>
      <c r="J218" s="3"/>
      <c r="K218" s="3"/>
      <c r="L218" s="3"/>
      <c r="P218" s="3"/>
      <c r="Q218" s="3"/>
    </row>
    <row r="219" spans="1:18" x14ac:dyDescent="0.3">
      <c r="A219" s="9" t="str">
        <f>IF(C219="","",COUNTA($C$4:C219))</f>
        <v/>
      </c>
      <c r="B219" s="10"/>
      <c r="C219" s="9"/>
      <c r="D219" s="9"/>
      <c r="E219" s="9"/>
      <c r="F219" s="9"/>
      <c r="G219" s="9"/>
      <c r="H219" s="9"/>
      <c r="I219" s="9"/>
      <c r="J219" s="10"/>
      <c r="K219" s="10"/>
      <c r="L219" s="10"/>
      <c r="M219" s="9"/>
      <c r="N219" s="9"/>
      <c r="O219" s="9"/>
      <c r="P219" s="10"/>
      <c r="Q219" s="10"/>
      <c r="R219" s="9"/>
    </row>
    <row r="220" spans="1:18" x14ac:dyDescent="0.3">
      <c r="A220" t="str">
        <f>IF(C220="","",COUNTA($C$4:C220))</f>
        <v/>
      </c>
      <c r="B220" s="3"/>
      <c r="J220" s="3"/>
      <c r="K220" s="3"/>
      <c r="L220" s="3"/>
      <c r="P220" s="3"/>
      <c r="Q220" s="3"/>
    </row>
    <row r="221" spans="1:18" x14ac:dyDescent="0.3">
      <c r="A221" s="9" t="str">
        <f>IF(C221="","",COUNTA($C$4:C221))</f>
        <v/>
      </c>
      <c r="B221" s="10"/>
      <c r="C221" s="9"/>
      <c r="D221" s="9"/>
      <c r="E221" s="9"/>
      <c r="F221" s="9"/>
      <c r="G221" s="9"/>
      <c r="H221" s="9"/>
      <c r="I221" s="9"/>
      <c r="J221" s="10"/>
      <c r="K221" s="10"/>
      <c r="L221" s="10"/>
      <c r="M221" s="9"/>
      <c r="N221" s="9"/>
      <c r="O221" s="9"/>
      <c r="P221" s="10"/>
      <c r="Q221" s="10"/>
      <c r="R221" s="9"/>
    </row>
    <row r="222" spans="1:18" x14ac:dyDescent="0.3">
      <c r="A222" t="str">
        <f>IF(C222="","",COUNTA($C$4:C222))</f>
        <v/>
      </c>
      <c r="B222" s="3"/>
      <c r="J222" s="3"/>
      <c r="K222" s="3"/>
      <c r="L222" s="3"/>
      <c r="P222" s="3"/>
      <c r="Q222" s="3"/>
    </row>
    <row r="223" spans="1:18" x14ac:dyDescent="0.3">
      <c r="A223" s="9" t="str">
        <f>IF(C223="","",COUNTA($C$4:C223))</f>
        <v/>
      </c>
      <c r="B223" s="10"/>
      <c r="C223" s="9"/>
      <c r="D223" s="9"/>
      <c r="E223" s="9"/>
      <c r="F223" s="9"/>
      <c r="G223" s="9"/>
      <c r="H223" s="9"/>
      <c r="I223" s="9"/>
      <c r="J223" s="10"/>
      <c r="K223" s="10"/>
      <c r="L223" s="10"/>
      <c r="M223" s="9"/>
      <c r="N223" s="9"/>
      <c r="O223" s="9"/>
      <c r="P223" s="10"/>
      <c r="Q223" s="10"/>
      <c r="R223" s="9"/>
    </row>
    <row r="224" spans="1:18" x14ac:dyDescent="0.3">
      <c r="A224" t="str">
        <f>IF(C224="","",COUNTA($C$4:C224))</f>
        <v/>
      </c>
      <c r="B224" s="3"/>
      <c r="J224" s="3"/>
      <c r="K224" s="3"/>
      <c r="L224" s="3"/>
      <c r="P224" s="3"/>
      <c r="Q224" s="3"/>
    </row>
    <row r="225" spans="1:18" x14ac:dyDescent="0.3">
      <c r="A225" s="9" t="str">
        <f>IF(C225="","",COUNTA($C$4:C225))</f>
        <v/>
      </c>
      <c r="B225" s="10"/>
      <c r="C225" s="9"/>
      <c r="D225" s="9"/>
      <c r="E225" s="9"/>
      <c r="F225" s="9"/>
      <c r="G225" s="9"/>
      <c r="H225" s="9"/>
      <c r="I225" s="9"/>
      <c r="J225" s="10"/>
      <c r="K225" s="10"/>
      <c r="L225" s="10"/>
      <c r="M225" s="9"/>
      <c r="N225" s="9"/>
      <c r="O225" s="9"/>
      <c r="P225" s="10"/>
      <c r="Q225" s="10"/>
      <c r="R225" s="9"/>
    </row>
    <row r="226" spans="1:18" x14ac:dyDescent="0.3">
      <c r="A226" t="str">
        <f>IF(C226="","",COUNTA($C$4:C226))</f>
        <v/>
      </c>
      <c r="B226" s="3"/>
      <c r="J226" s="3"/>
      <c r="K226" s="3"/>
      <c r="L226" s="3"/>
      <c r="P226" s="3"/>
      <c r="Q226" s="3"/>
    </row>
    <row r="227" spans="1:18" x14ac:dyDescent="0.3">
      <c r="A227" s="9" t="str">
        <f>IF(C227="","",COUNTA($C$4:C227))</f>
        <v/>
      </c>
      <c r="B227" s="10"/>
      <c r="C227" s="9"/>
      <c r="D227" s="9"/>
      <c r="E227" s="9"/>
      <c r="F227" s="9"/>
      <c r="G227" s="9"/>
      <c r="H227" s="9"/>
      <c r="I227" s="9"/>
      <c r="J227" s="10"/>
      <c r="K227" s="10"/>
      <c r="L227" s="10"/>
      <c r="M227" s="9"/>
      <c r="N227" s="9"/>
      <c r="O227" s="9"/>
      <c r="P227" s="10"/>
      <c r="Q227" s="10"/>
      <c r="R227" s="9"/>
    </row>
    <row r="228" spans="1:18" x14ac:dyDescent="0.3">
      <c r="A228" t="str">
        <f>IF(C228="","",COUNTA($C$4:C228))</f>
        <v/>
      </c>
      <c r="B228" s="3"/>
      <c r="J228" s="3"/>
      <c r="K228" s="3"/>
      <c r="L228" s="3"/>
      <c r="P228" s="3"/>
      <c r="Q228" s="3"/>
    </row>
    <row r="229" spans="1:18" x14ac:dyDescent="0.3">
      <c r="A229" s="9" t="str">
        <f>IF(C229="","",COUNTA($C$4:C229))</f>
        <v/>
      </c>
      <c r="B229" s="10"/>
      <c r="C229" s="9"/>
      <c r="D229" s="9"/>
      <c r="E229" s="9"/>
      <c r="F229" s="9"/>
      <c r="G229" s="9"/>
      <c r="H229" s="9"/>
      <c r="I229" s="9"/>
      <c r="J229" s="10"/>
      <c r="K229" s="10"/>
      <c r="L229" s="10"/>
      <c r="M229" s="9"/>
      <c r="N229" s="9"/>
      <c r="O229" s="9"/>
      <c r="P229" s="10"/>
      <c r="Q229" s="10"/>
      <c r="R229" s="9"/>
    </row>
    <row r="230" spans="1:18" x14ac:dyDescent="0.3">
      <c r="A230" t="str">
        <f>IF(C230="","",COUNTA($C$4:C230))</f>
        <v/>
      </c>
      <c r="B230" s="3"/>
      <c r="J230" s="3"/>
      <c r="K230" s="3"/>
      <c r="L230" s="3"/>
      <c r="P230" s="3"/>
      <c r="Q230" s="3"/>
    </row>
    <row r="231" spans="1:18" x14ac:dyDescent="0.3">
      <c r="A231" s="9" t="str">
        <f>IF(C231="","",COUNTA($C$4:C231))</f>
        <v/>
      </c>
      <c r="B231" s="10"/>
      <c r="C231" s="9"/>
      <c r="D231" s="9"/>
      <c r="E231" s="9"/>
      <c r="F231" s="9"/>
      <c r="G231" s="9"/>
      <c r="H231" s="9"/>
      <c r="I231" s="9"/>
      <c r="J231" s="10"/>
      <c r="K231" s="10"/>
      <c r="L231" s="10"/>
      <c r="M231" s="9"/>
      <c r="N231" s="9"/>
      <c r="O231" s="9"/>
      <c r="P231" s="10"/>
      <c r="Q231" s="10"/>
      <c r="R231" s="9"/>
    </row>
    <row r="232" spans="1:18" x14ac:dyDescent="0.3">
      <c r="A232" t="str">
        <f>IF(C232="","",COUNTA($C$4:C232))</f>
        <v/>
      </c>
      <c r="B232" s="3"/>
      <c r="J232" s="3"/>
      <c r="K232" s="3"/>
      <c r="L232" s="3"/>
      <c r="P232" s="3"/>
      <c r="Q232" s="3"/>
    </row>
    <row r="233" spans="1:18" x14ac:dyDescent="0.3">
      <c r="A233" s="9" t="str">
        <f>IF(C233="","",COUNTA($C$4:C233))</f>
        <v/>
      </c>
      <c r="B233" s="10"/>
      <c r="C233" s="9"/>
      <c r="D233" s="9"/>
      <c r="E233" s="9"/>
      <c r="F233" s="9"/>
      <c r="G233" s="9"/>
      <c r="H233" s="9"/>
      <c r="I233" s="9"/>
      <c r="J233" s="10"/>
      <c r="K233" s="10"/>
      <c r="L233" s="10"/>
      <c r="M233" s="9"/>
      <c r="N233" s="9"/>
      <c r="O233" s="9"/>
      <c r="P233" s="10"/>
      <c r="Q233" s="10"/>
      <c r="R233" s="9"/>
    </row>
    <row r="234" spans="1:18" x14ac:dyDescent="0.3">
      <c r="A234" t="str">
        <f>IF(C234="","",COUNTA($C$4:C234))</f>
        <v/>
      </c>
      <c r="B234" s="3"/>
      <c r="J234" s="3"/>
      <c r="K234" s="3"/>
      <c r="L234" s="3"/>
      <c r="P234" s="3"/>
      <c r="Q234" s="3"/>
    </row>
    <row r="235" spans="1:18" x14ac:dyDescent="0.3">
      <c r="A235" s="9" t="str">
        <f>IF(C235="","",COUNTA($C$4:C235))</f>
        <v/>
      </c>
      <c r="B235" s="10"/>
      <c r="C235" s="9"/>
      <c r="D235" s="9"/>
      <c r="E235" s="9"/>
      <c r="F235" s="9"/>
      <c r="G235" s="9"/>
      <c r="H235" s="9"/>
      <c r="I235" s="9"/>
      <c r="J235" s="10"/>
      <c r="K235" s="10"/>
      <c r="L235" s="10"/>
      <c r="M235" s="9"/>
      <c r="N235" s="9"/>
      <c r="O235" s="9"/>
      <c r="P235" s="10"/>
      <c r="Q235" s="10"/>
      <c r="R235" s="9"/>
    </row>
    <row r="236" spans="1:18" x14ac:dyDescent="0.3">
      <c r="A236" t="str">
        <f>IF(C236="","",COUNTA($C$4:C236))</f>
        <v/>
      </c>
      <c r="B236" s="3"/>
      <c r="J236" s="3"/>
      <c r="K236" s="3"/>
      <c r="L236" s="3"/>
      <c r="P236" s="3"/>
      <c r="Q236" s="3"/>
    </row>
    <row r="237" spans="1:18" x14ac:dyDescent="0.3">
      <c r="A237" s="9" t="str">
        <f>IF(C237="","",COUNTA($C$4:C237))</f>
        <v/>
      </c>
      <c r="B237" s="10"/>
      <c r="C237" s="9"/>
      <c r="D237" s="9"/>
      <c r="E237" s="9"/>
      <c r="F237" s="9"/>
      <c r="G237" s="9"/>
      <c r="H237" s="9"/>
      <c r="I237" s="9"/>
      <c r="J237" s="10"/>
      <c r="K237" s="10"/>
      <c r="L237" s="10"/>
      <c r="M237" s="9"/>
      <c r="N237" s="9"/>
      <c r="O237" s="9"/>
      <c r="P237" s="10"/>
      <c r="Q237" s="10"/>
      <c r="R237" s="9"/>
    </row>
    <row r="238" spans="1:18" x14ac:dyDescent="0.3">
      <c r="A238" t="str">
        <f>IF(C238="","",COUNTA($C$4:C238))</f>
        <v/>
      </c>
      <c r="B238" s="3"/>
      <c r="J238" s="3"/>
      <c r="K238" s="3"/>
      <c r="L238" s="3"/>
      <c r="P238" s="3"/>
      <c r="Q238" s="3"/>
    </row>
    <row r="239" spans="1:18" x14ac:dyDescent="0.3">
      <c r="A239" s="9" t="str">
        <f>IF(C239="","",COUNTA($C$4:C239))</f>
        <v/>
      </c>
      <c r="B239" s="10"/>
      <c r="C239" s="9"/>
      <c r="D239" s="9"/>
      <c r="E239" s="9"/>
      <c r="F239" s="9"/>
      <c r="G239" s="9"/>
      <c r="H239" s="9"/>
      <c r="I239" s="9"/>
      <c r="J239" s="10"/>
      <c r="K239" s="10"/>
      <c r="L239" s="10"/>
      <c r="M239" s="9"/>
      <c r="N239" s="9"/>
      <c r="O239" s="9"/>
      <c r="P239" s="10"/>
      <c r="Q239" s="10"/>
      <c r="R239" s="9"/>
    </row>
    <row r="240" spans="1:18" x14ac:dyDescent="0.3">
      <c r="A240" t="str">
        <f>IF(C240="","",COUNTA($C$4:C240))</f>
        <v/>
      </c>
      <c r="B240" s="3"/>
      <c r="J240" s="3"/>
      <c r="K240" s="3"/>
      <c r="L240" s="3"/>
      <c r="P240" s="3"/>
      <c r="Q240" s="3"/>
    </row>
    <row r="241" spans="1:18" x14ac:dyDescent="0.3">
      <c r="A241" s="9" t="str">
        <f>IF(C241="","",COUNTA($C$4:C241))</f>
        <v/>
      </c>
      <c r="B241" s="10"/>
      <c r="C241" s="9"/>
      <c r="D241" s="9"/>
      <c r="E241" s="9"/>
      <c r="F241" s="9"/>
      <c r="G241" s="9"/>
      <c r="H241" s="9"/>
      <c r="I241" s="9"/>
      <c r="J241" s="10"/>
      <c r="K241" s="10"/>
      <c r="L241" s="10"/>
      <c r="M241" s="9"/>
      <c r="N241" s="9"/>
      <c r="O241" s="9"/>
      <c r="P241" s="10"/>
      <c r="Q241" s="10"/>
      <c r="R241" s="9"/>
    </row>
    <row r="242" spans="1:18" x14ac:dyDescent="0.3">
      <c r="A242" t="str">
        <f>IF(C242="","",COUNTA($C$4:C242))</f>
        <v/>
      </c>
      <c r="B242" s="3"/>
      <c r="J242" s="3"/>
      <c r="K242" s="3"/>
      <c r="L242" s="3"/>
      <c r="P242" s="3"/>
      <c r="Q242" s="3"/>
    </row>
    <row r="243" spans="1:18" x14ac:dyDescent="0.3">
      <c r="A243" s="9" t="str">
        <f>IF(C243="","",COUNTA($C$4:C243))</f>
        <v/>
      </c>
      <c r="B243" s="10"/>
      <c r="C243" s="9"/>
      <c r="D243" s="9"/>
      <c r="E243" s="9"/>
      <c r="F243" s="9"/>
      <c r="G243" s="9"/>
      <c r="H243" s="9"/>
      <c r="I243" s="9"/>
      <c r="J243" s="10"/>
      <c r="K243" s="10"/>
      <c r="L243" s="10"/>
      <c r="M243" s="9"/>
      <c r="N243" s="9"/>
      <c r="O243" s="9"/>
      <c r="P243" s="10"/>
      <c r="Q243" s="10"/>
      <c r="R243" s="9"/>
    </row>
    <row r="244" spans="1:18" x14ac:dyDescent="0.3">
      <c r="A244" t="str">
        <f>IF(C244="","",COUNTA($C$4:C244))</f>
        <v/>
      </c>
      <c r="B244" s="3"/>
      <c r="J244" s="3"/>
      <c r="K244" s="3"/>
      <c r="L244" s="3"/>
      <c r="P244" s="3"/>
      <c r="Q244" s="3"/>
    </row>
    <row r="245" spans="1:18" x14ac:dyDescent="0.3">
      <c r="A245" s="9" t="str">
        <f>IF(C245="","",COUNTA($C$4:C245))</f>
        <v/>
      </c>
      <c r="B245" s="10"/>
      <c r="C245" s="9"/>
      <c r="D245" s="9"/>
      <c r="E245" s="9"/>
      <c r="F245" s="9"/>
      <c r="G245" s="9"/>
      <c r="H245" s="9"/>
      <c r="I245" s="9"/>
      <c r="J245" s="10"/>
      <c r="K245" s="10"/>
      <c r="L245" s="10"/>
      <c r="M245" s="9"/>
      <c r="N245" s="9"/>
      <c r="O245" s="9"/>
      <c r="P245" s="10"/>
      <c r="Q245" s="10"/>
      <c r="R245" s="9"/>
    </row>
    <row r="246" spans="1:18" x14ac:dyDescent="0.3">
      <c r="A246" t="str">
        <f>IF(C246="","",COUNTA($C$4:C246))</f>
        <v/>
      </c>
      <c r="B246" s="3"/>
      <c r="J246" s="3"/>
      <c r="K246" s="3"/>
      <c r="L246" s="3"/>
      <c r="P246" s="3"/>
      <c r="Q246" s="3"/>
    </row>
    <row r="247" spans="1:18" x14ac:dyDescent="0.3">
      <c r="A247" s="9" t="str">
        <f>IF(C247="","",COUNTA($C$4:C247))</f>
        <v/>
      </c>
      <c r="B247" s="10"/>
      <c r="C247" s="9"/>
      <c r="D247" s="9"/>
      <c r="E247" s="9"/>
      <c r="F247" s="9"/>
      <c r="G247" s="9"/>
      <c r="H247" s="9"/>
      <c r="I247" s="9"/>
      <c r="J247" s="10"/>
      <c r="K247" s="10"/>
      <c r="L247" s="10"/>
      <c r="M247" s="9"/>
      <c r="N247" s="9"/>
      <c r="O247" s="9"/>
      <c r="P247" s="10"/>
      <c r="Q247" s="10"/>
      <c r="R247" s="9"/>
    </row>
    <row r="248" spans="1:18" x14ac:dyDescent="0.3">
      <c r="A248" t="str">
        <f>IF(C248="","",COUNTA($C$4:C248))</f>
        <v/>
      </c>
      <c r="B248" s="3"/>
      <c r="J248" s="3"/>
      <c r="K248" s="3"/>
      <c r="L248" s="3"/>
      <c r="P248" s="3"/>
      <c r="Q248" s="3"/>
    </row>
    <row r="249" spans="1:18" x14ac:dyDescent="0.3">
      <c r="A249" s="9" t="str">
        <f>IF(C249="","",COUNTA($C$4:C249))</f>
        <v/>
      </c>
      <c r="B249" s="10"/>
      <c r="C249" s="9"/>
      <c r="D249" s="9"/>
      <c r="E249" s="9"/>
      <c r="F249" s="9"/>
      <c r="G249" s="9"/>
      <c r="H249" s="9"/>
      <c r="I249" s="9"/>
      <c r="J249" s="10"/>
      <c r="K249" s="10"/>
      <c r="L249" s="10"/>
      <c r="M249" s="9"/>
      <c r="N249" s="9"/>
      <c r="O249" s="9"/>
      <c r="P249" s="10"/>
      <c r="Q249" s="10"/>
      <c r="R249" s="9"/>
    </row>
    <row r="250" spans="1:18" x14ac:dyDescent="0.3">
      <c r="A250" t="str">
        <f>IF(C250="","",COUNTA($C$4:C250))</f>
        <v/>
      </c>
      <c r="B250" s="3"/>
      <c r="J250" s="3"/>
      <c r="K250" s="3"/>
      <c r="L250" s="3"/>
      <c r="P250" s="3"/>
      <c r="Q250" s="3"/>
    </row>
    <row r="251" spans="1:18" x14ac:dyDescent="0.3">
      <c r="A251" s="9" t="str">
        <f>IF(C251="","",COUNTA($C$4:C251))</f>
        <v/>
      </c>
      <c r="B251" s="10"/>
      <c r="C251" s="9"/>
      <c r="D251" s="9"/>
      <c r="E251" s="9"/>
      <c r="F251" s="9"/>
      <c r="G251" s="9"/>
      <c r="H251" s="9"/>
      <c r="I251" s="9"/>
      <c r="J251" s="10"/>
      <c r="K251" s="10"/>
      <c r="L251" s="10"/>
      <c r="M251" s="9"/>
      <c r="N251" s="9"/>
      <c r="O251" s="9"/>
      <c r="P251" s="10"/>
      <c r="Q251" s="10"/>
      <c r="R251" s="9"/>
    </row>
    <row r="252" spans="1:18" x14ac:dyDescent="0.3">
      <c r="A252" t="str">
        <f>IF(C252="","",COUNTA($C$4:C252))</f>
        <v/>
      </c>
      <c r="B252" s="3"/>
      <c r="J252" s="3"/>
      <c r="K252" s="3"/>
      <c r="L252" s="3"/>
      <c r="P252" s="3"/>
      <c r="Q252" s="3"/>
    </row>
    <row r="253" spans="1:18" x14ac:dyDescent="0.3">
      <c r="A253" s="9" t="str">
        <f>IF(C253="","",COUNTA($C$4:C253))</f>
        <v/>
      </c>
      <c r="B253" s="10"/>
      <c r="C253" s="9"/>
      <c r="D253" s="9"/>
      <c r="E253" s="9"/>
      <c r="F253" s="9"/>
      <c r="G253" s="9"/>
      <c r="H253" s="9"/>
      <c r="I253" s="9"/>
      <c r="J253" s="10"/>
      <c r="K253" s="10"/>
      <c r="L253" s="10"/>
      <c r="M253" s="9"/>
      <c r="N253" s="9"/>
      <c r="O253" s="9"/>
      <c r="P253" s="10"/>
      <c r="Q253" s="10"/>
      <c r="R253" s="9"/>
    </row>
    <row r="254" spans="1:18" x14ac:dyDescent="0.3">
      <c r="A254" t="str">
        <f>IF(C254="","",COUNTA($C$4:C254))</f>
        <v/>
      </c>
      <c r="B254" s="3"/>
      <c r="J254" s="3"/>
      <c r="K254" s="3"/>
      <c r="L254" s="3"/>
      <c r="P254" s="3"/>
      <c r="Q254" s="3"/>
    </row>
    <row r="255" spans="1:18" x14ac:dyDescent="0.3">
      <c r="A255" s="9" t="str">
        <f>IF(C255="","",COUNTA($C$4:C255))</f>
        <v/>
      </c>
      <c r="B255" s="10"/>
      <c r="C255" s="9"/>
      <c r="D255" s="9"/>
      <c r="E255" s="9"/>
      <c r="F255" s="9"/>
      <c r="G255" s="9"/>
      <c r="H255" s="9"/>
      <c r="I255" s="9"/>
      <c r="J255" s="10"/>
      <c r="K255" s="10"/>
      <c r="L255" s="10"/>
      <c r="M255" s="9"/>
      <c r="N255" s="9"/>
      <c r="O255" s="9"/>
      <c r="P255" s="10"/>
      <c r="Q255" s="10"/>
      <c r="R255" s="9"/>
    </row>
    <row r="256" spans="1:18" x14ac:dyDescent="0.3">
      <c r="A256" t="str">
        <f>IF(C256="","",COUNTA($C$4:C256))</f>
        <v/>
      </c>
      <c r="B256" s="3"/>
      <c r="J256" s="3"/>
      <c r="K256" s="3"/>
      <c r="L256" s="3"/>
      <c r="P256" s="3"/>
      <c r="Q256" s="3"/>
    </row>
    <row r="257" spans="1:18" x14ac:dyDescent="0.3">
      <c r="A257" s="9" t="str">
        <f>IF(C257="","",COUNTA($C$4:C257))</f>
        <v/>
      </c>
      <c r="B257" s="10"/>
      <c r="C257" s="9"/>
      <c r="D257" s="9"/>
      <c r="E257" s="9"/>
      <c r="F257" s="9"/>
      <c r="G257" s="9"/>
      <c r="H257" s="9"/>
      <c r="I257" s="9"/>
      <c r="J257" s="10"/>
      <c r="K257" s="10"/>
      <c r="L257" s="10"/>
      <c r="M257" s="9"/>
      <c r="N257" s="9"/>
      <c r="O257" s="9"/>
      <c r="P257" s="10"/>
      <c r="Q257" s="10"/>
      <c r="R257" s="9"/>
    </row>
    <row r="258" spans="1:18" x14ac:dyDescent="0.3">
      <c r="A258" t="str">
        <f>IF(C258="","",COUNTA($C$4:C258))</f>
        <v/>
      </c>
      <c r="B258" s="3"/>
      <c r="J258" s="3"/>
      <c r="K258" s="3"/>
      <c r="L258" s="3"/>
      <c r="P258" s="3"/>
      <c r="Q258" s="3"/>
    </row>
    <row r="259" spans="1:18" x14ac:dyDescent="0.3">
      <c r="A259" s="9" t="str">
        <f>IF(C259="","",COUNTA($C$4:C259))</f>
        <v/>
      </c>
      <c r="B259" s="10"/>
      <c r="C259" s="9"/>
      <c r="D259" s="9"/>
      <c r="E259" s="9"/>
      <c r="F259" s="9"/>
      <c r="G259" s="9"/>
      <c r="H259" s="9"/>
      <c r="I259" s="9"/>
      <c r="J259" s="10"/>
      <c r="K259" s="10"/>
      <c r="L259" s="10"/>
      <c r="M259" s="9"/>
      <c r="N259" s="9"/>
      <c r="O259" s="9"/>
      <c r="P259" s="10"/>
      <c r="Q259" s="10"/>
      <c r="R259" s="9"/>
    </row>
    <row r="260" spans="1:18" x14ac:dyDescent="0.3">
      <c r="A260" t="str">
        <f>IF(C260="","",COUNTA($C$4:C260))</f>
        <v/>
      </c>
      <c r="B260" s="3"/>
      <c r="J260" s="3"/>
      <c r="K260" s="3"/>
      <c r="L260" s="3"/>
      <c r="P260" s="3"/>
      <c r="Q260" s="3"/>
    </row>
    <row r="261" spans="1:18" x14ac:dyDescent="0.3">
      <c r="A261" s="9" t="str">
        <f>IF(C261="","",COUNTA($C$4:C261))</f>
        <v/>
      </c>
      <c r="B261" s="10"/>
      <c r="C261" s="9"/>
      <c r="D261" s="9"/>
      <c r="E261" s="9"/>
      <c r="F261" s="9"/>
      <c r="G261" s="9"/>
      <c r="H261" s="9"/>
      <c r="I261" s="9"/>
      <c r="J261" s="10"/>
      <c r="K261" s="10"/>
      <c r="L261" s="10"/>
      <c r="M261" s="9"/>
      <c r="N261" s="9"/>
      <c r="O261" s="9"/>
      <c r="P261" s="10"/>
      <c r="Q261" s="10"/>
      <c r="R261" s="9"/>
    </row>
    <row r="262" spans="1:18" x14ac:dyDescent="0.3">
      <c r="A262" t="str">
        <f>IF(C262="","",COUNTA($C$4:C262))</f>
        <v/>
      </c>
      <c r="B262" s="3"/>
      <c r="J262" s="3"/>
      <c r="K262" s="3"/>
      <c r="L262" s="3"/>
      <c r="P262" s="3"/>
      <c r="Q262" s="3"/>
    </row>
    <row r="263" spans="1:18" x14ac:dyDescent="0.3">
      <c r="A263" s="9" t="str">
        <f>IF(C263="","",COUNTA($C$4:C263))</f>
        <v/>
      </c>
      <c r="B263" s="10"/>
      <c r="C263" s="9"/>
      <c r="D263" s="9"/>
      <c r="E263" s="9"/>
      <c r="F263" s="9"/>
      <c r="G263" s="9"/>
      <c r="H263" s="9"/>
      <c r="I263" s="9"/>
      <c r="J263" s="10"/>
      <c r="K263" s="10"/>
      <c r="L263" s="10"/>
      <c r="M263" s="9"/>
      <c r="N263" s="9"/>
      <c r="O263" s="9"/>
      <c r="P263" s="10"/>
      <c r="Q263" s="10"/>
      <c r="R263" s="9"/>
    </row>
    <row r="264" spans="1:18" x14ac:dyDescent="0.3">
      <c r="A264" t="str">
        <f>IF(C264="","",COUNTA($C$4:C264))</f>
        <v/>
      </c>
      <c r="B264" s="3"/>
      <c r="J264" s="3"/>
      <c r="K264" s="3"/>
      <c r="L264" s="3"/>
      <c r="P264" s="3"/>
      <c r="Q264" s="3"/>
    </row>
    <row r="265" spans="1:18" x14ac:dyDescent="0.3">
      <c r="A265" s="9" t="str">
        <f>IF(C265="","",COUNTA($C$4:C265))</f>
        <v/>
      </c>
      <c r="B265" s="10"/>
      <c r="C265" s="9"/>
      <c r="D265" s="9"/>
      <c r="E265" s="9"/>
      <c r="F265" s="9"/>
      <c r="G265" s="9"/>
      <c r="H265" s="9"/>
      <c r="I265" s="9"/>
      <c r="J265" s="10"/>
      <c r="K265" s="10"/>
      <c r="L265" s="10"/>
      <c r="M265" s="9"/>
      <c r="N265" s="9"/>
      <c r="O265" s="9"/>
      <c r="P265" s="10"/>
      <c r="Q265" s="10"/>
      <c r="R265" s="9"/>
    </row>
    <row r="266" spans="1:18" x14ac:dyDescent="0.3">
      <c r="A266" t="str">
        <f>IF(C266="","",COUNTA($C$4:C266))</f>
        <v/>
      </c>
      <c r="B266" s="3"/>
      <c r="J266" s="3"/>
      <c r="K266" s="3"/>
      <c r="L266" s="3"/>
      <c r="P266" s="3"/>
      <c r="Q266" s="3"/>
    </row>
    <row r="267" spans="1:18" x14ac:dyDescent="0.3">
      <c r="A267" s="9" t="str">
        <f>IF(C267="","",COUNTA($C$4:C267))</f>
        <v/>
      </c>
      <c r="B267" s="10"/>
      <c r="C267" s="9"/>
      <c r="D267" s="9"/>
      <c r="E267" s="9"/>
      <c r="F267" s="9"/>
      <c r="G267" s="9"/>
      <c r="H267" s="9"/>
      <c r="I267" s="9"/>
      <c r="J267" s="10"/>
      <c r="K267" s="10"/>
      <c r="L267" s="10"/>
      <c r="M267" s="9"/>
      <c r="N267" s="9"/>
      <c r="O267" s="9"/>
      <c r="P267" s="10"/>
      <c r="Q267" s="10"/>
      <c r="R267" s="9"/>
    </row>
    <row r="268" spans="1:18" x14ac:dyDescent="0.3">
      <c r="A268" t="str">
        <f>IF(C268="","",COUNTA($C$4:C268))</f>
        <v/>
      </c>
      <c r="B268" s="3"/>
      <c r="J268" s="3"/>
      <c r="K268" s="3"/>
      <c r="L268" s="3"/>
      <c r="P268" s="3"/>
      <c r="Q268" s="3"/>
    </row>
    <row r="269" spans="1:18" x14ac:dyDescent="0.3">
      <c r="A269" s="9" t="str">
        <f>IF(C269="","",COUNTA($C$4:C269))</f>
        <v/>
      </c>
      <c r="B269" s="10"/>
      <c r="C269" s="9"/>
      <c r="D269" s="9"/>
      <c r="E269" s="9"/>
      <c r="F269" s="9"/>
      <c r="G269" s="9"/>
      <c r="H269" s="9"/>
      <c r="I269" s="9"/>
      <c r="J269" s="10"/>
      <c r="K269" s="10"/>
      <c r="L269" s="10"/>
      <c r="M269" s="9"/>
      <c r="N269" s="9"/>
      <c r="O269" s="9"/>
      <c r="P269" s="10"/>
      <c r="Q269" s="10"/>
      <c r="R269" s="9"/>
    </row>
    <row r="270" spans="1:18" x14ac:dyDescent="0.3">
      <c r="A270" t="str">
        <f>IF(C270="","",COUNTA($C$4:C270))</f>
        <v/>
      </c>
      <c r="B270" s="3"/>
      <c r="J270" s="3"/>
      <c r="K270" s="3"/>
      <c r="L270" s="3"/>
      <c r="P270" s="3"/>
      <c r="Q270" s="3"/>
    </row>
    <row r="271" spans="1:18" x14ac:dyDescent="0.3">
      <c r="A271" s="9" t="str">
        <f>IF(C271="","",COUNTA($C$4:C271))</f>
        <v/>
      </c>
      <c r="B271" s="10"/>
      <c r="C271" s="9"/>
      <c r="D271" s="9"/>
      <c r="E271" s="9"/>
      <c r="F271" s="9"/>
      <c r="G271" s="9"/>
      <c r="H271" s="9"/>
      <c r="I271" s="9"/>
      <c r="J271" s="10"/>
      <c r="K271" s="10"/>
      <c r="L271" s="10"/>
      <c r="M271" s="9"/>
      <c r="N271" s="9"/>
      <c r="O271" s="9"/>
      <c r="P271" s="10"/>
      <c r="Q271" s="10"/>
      <c r="R271" s="9"/>
    </row>
    <row r="272" spans="1:18" x14ac:dyDescent="0.3">
      <c r="A272" t="str">
        <f>IF(C272="","",COUNTA($C$4:C272))</f>
        <v/>
      </c>
      <c r="B272" s="3"/>
      <c r="J272" s="3"/>
      <c r="K272" s="3"/>
      <c r="L272" s="3"/>
      <c r="P272" s="3"/>
      <c r="Q272" s="3"/>
    </row>
    <row r="273" spans="1:18" x14ac:dyDescent="0.3">
      <c r="A273" s="9" t="str">
        <f>IF(C273="","",COUNTA($C$4:C273))</f>
        <v/>
      </c>
      <c r="B273" s="10"/>
      <c r="C273" s="9"/>
      <c r="D273" s="9"/>
      <c r="E273" s="9"/>
      <c r="F273" s="9"/>
      <c r="G273" s="9"/>
      <c r="H273" s="9"/>
      <c r="I273" s="9"/>
      <c r="J273" s="10"/>
      <c r="K273" s="10"/>
      <c r="L273" s="10"/>
      <c r="M273" s="9"/>
      <c r="N273" s="9"/>
      <c r="O273" s="9"/>
      <c r="P273" s="10"/>
      <c r="Q273" s="10"/>
      <c r="R273" s="9"/>
    </row>
    <row r="274" spans="1:18" x14ac:dyDescent="0.3">
      <c r="A274" t="str">
        <f>IF(C274="","",COUNTA($C$4:C274))</f>
        <v/>
      </c>
      <c r="B274" s="3"/>
      <c r="J274" s="3"/>
      <c r="K274" s="3"/>
      <c r="L274" s="3"/>
      <c r="P274" s="3"/>
      <c r="Q274" s="3"/>
    </row>
    <row r="275" spans="1:18" x14ac:dyDescent="0.3">
      <c r="A275" s="9" t="str">
        <f>IF(C275="","",COUNTA($C$4:C275))</f>
        <v/>
      </c>
      <c r="B275" s="10"/>
      <c r="C275" s="9"/>
      <c r="D275" s="9"/>
      <c r="E275" s="9"/>
      <c r="F275" s="9"/>
      <c r="G275" s="9"/>
      <c r="H275" s="9"/>
      <c r="I275" s="9"/>
      <c r="J275" s="10"/>
      <c r="K275" s="10"/>
      <c r="L275" s="10"/>
      <c r="M275" s="9"/>
      <c r="N275" s="9"/>
      <c r="O275" s="9"/>
      <c r="P275" s="10"/>
      <c r="Q275" s="10"/>
      <c r="R275" s="9"/>
    </row>
    <row r="276" spans="1:18" x14ac:dyDescent="0.3">
      <c r="A276" t="str">
        <f>IF(C276="","",COUNTA($C$4:C276))</f>
        <v/>
      </c>
      <c r="B276" s="3"/>
      <c r="J276" s="3"/>
      <c r="K276" s="3"/>
      <c r="L276" s="3"/>
      <c r="P276" s="3"/>
      <c r="Q276" s="3"/>
    </row>
    <row r="277" spans="1:18" x14ac:dyDescent="0.3">
      <c r="A277" s="9" t="str">
        <f>IF(C277="","",COUNTA($C$4:C277))</f>
        <v/>
      </c>
      <c r="B277" s="10"/>
      <c r="C277" s="9"/>
      <c r="D277" s="9"/>
      <c r="E277" s="9"/>
      <c r="F277" s="9"/>
      <c r="G277" s="9"/>
      <c r="H277" s="9"/>
      <c r="I277" s="9"/>
      <c r="J277" s="10"/>
      <c r="K277" s="10"/>
      <c r="L277" s="10"/>
      <c r="M277" s="9"/>
      <c r="N277" s="9"/>
      <c r="O277" s="9"/>
      <c r="P277" s="10"/>
      <c r="Q277" s="10"/>
      <c r="R277" s="9"/>
    </row>
    <row r="278" spans="1:18" x14ac:dyDescent="0.3">
      <c r="A278" t="str">
        <f>IF(C278="","",COUNTA($C$4:C278))</f>
        <v/>
      </c>
      <c r="B278" s="3"/>
      <c r="J278" s="3"/>
      <c r="K278" s="3"/>
      <c r="L278" s="3"/>
      <c r="P278" s="3"/>
      <c r="Q278" s="3"/>
    </row>
    <row r="279" spans="1:18" x14ac:dyDescent="0.3">
      <c r="A279" s="9" t="str">
        <f>IF(C279="","",COUNTA($C$4:C279))</f>
        <v/>
      </c>
      <c r="B279" s="10"/>
      <c r="C279" s="9"/>
      <c r="D279" s="9"/>
      <c r="E279" s="9"/>
      <c r="F279" s="9"/>
      <c r="G279" s="9"/>
      <c r="H279" s="9"/>
      <c r="I279" s="9"/>
      <c r="J279" s="10"/>
      <c r="K279" s="10"/>
      <c r="L279" s="10"/>
      <c r="M279" s="9"/>
      <c r="N279" s="9"/>
      <c r="O279" s="9"/>
      <c r="P279" s="10"/>
      <c r="Q279" s="10"/>
      <c r="R279" s="9"/>
    </row>
    <row r="280" spans="1:18" x14ac:dyDescent="0.3">
      <c r="A280" t="str">
        <f>IF(C280="","",COUNTA($C$4:C280))</f>
        <v/>
      </c>
      <c r="B280" s="3"/>
      <c r="J280" s="3"/>
      <c r="K280" s="3"/>
      <c r="L280" s="3"/>
      <c r="P280" s="3"/>
      <c r="Q280" s="3"/>
    </row>
    <row r="281" spans="1:18" x14ac:dyDescent="0.3">
      <c r="A281" s="9" t="str">
        <f>IF(C281="","",COUNTA($C$4:C281))</f>
        <v/>
      </c>
      <c r="B281" s="10"/>
      <c r="C281" s="9"/>
      <c r="D281" s="9"/>
      <c r="E281" s="9"/>
      <c r="F281" s="9"/>
      <c r="G281" s="9"/>
      <c r="H281" s="9"/>
      <c r="I281" s="9"/>
      <c r="J281" s="10"/>
      <c r="K281" s="10"/>
      <c r="L281" s="10"/>
      <c r="M281" s="9"/>
      <c r="N281" s="9"/>
      <c r="O281" s="9"/>
      <c r="P281" s="10"/>
      <c r="Q281" s="10"/>
      <c r="R281" s="9"/>
    </row>
    <row r="282" spans="1:18" x14ac:dyDescent="0.3">
      <c r="A282" t="str">
        <f>IF(C282="","",COUNTA($C$4:C282))</f>
        <v/>
      </c>
      <c r="B282" s="3"/>
      <c r="J282" s="3"/>
      <c r="K282" s="3"/>
      <c r="L282" s="3"/>
      <c r="P282" s="3"/>
      <c r="Q282" s="3"/>
    </row>
    <row r="283" spans="1:18" x14ac:dyDescent="0.3">
      <c r="A283" s="9" t="str">
        <f>IF(C283="","",COUNTA($C$4:C283))</f>
        <v/>
      </c>
      <c r="B283" s="10"/>
      <c r="C283" s="9"/>
      <c r="D283" s="9"/>
      <c r="E283" s="9"/>
      <c r="F283" s="9"/>
      <c r="G283" s="9"/>
      <c r="H283" s="9"/>
      <c r="I283" s="9"/>
      <c r="J283" s="10"/>
      <c r="K283" s="10"/>
      <c r="L283" s="10"/>
      <c r="M283" s="9"/>
      <c r="N283" s="9"/>
      <c r="O283" s="9"/>
      <c r="P283" s="10"/>
      <c r="Q283" s="10"/>
      <c r="R283" s="9"/>
    </row>
    <row r="284" spans="1:18" x14ac:dyDescent="0.3">
      <c r="A284" t="str">
        <f>IF(C284="","",COUNTA($C$4:C284))</f>
        <v/>
      </c>
      <c r="B284" s="3"/>
      <c r="J284" s="3"/>
      <c r="K284" s="3"/>
      <c r="L284" s="3"/>
      <c r="P284" s="3"/>
      <c r="Q284" s="3"/>
    </row>
    <row r="285" spans="1:18" x14ac:dyDescent="0.3">
      <c r="A285" s="9" t="str">
        <f>IF(C285="","",COUNTA($C$4:C285))</f>
        <v/>
      </c>
      <c r="B285" s="10"/>
      <c r="C285" s="9"/>
      <c r="D285" s="9"/>
      <c r="E285" s="9"/>
      <c r="F285" s="9"/>
      <c r="G285" s="9"/>
      <c r="H285" s="9"/>
      <c r="I285" s="9"/>
      <c r="J285" s="10"/>
      <c r="K285" s="10"/>
      <c r="L285" s="10"/>
      <c r="M285" s="9"/>
      <c r="N285" s="9"/>
      <c r="O285" s="9"/>
      <c r="P285" s="10"/>
      <c r="Q285" s="10"/>
      <c r="R285" s="9"/>
    </row>
    <row r="286" spans="1:18" x14ac:dyDescent="0.3">
      <c r="A286" t="str">
        <f>IF(C286="","",COUNTA($C$4:C286))</f>
        <v/>
      </c>
      <c r="B286" s="3"/>
      <c r="J286" s="3"/>
      <c r="K286" s="3"/>
      <c r="L286" s="3"/>
      <c r="P286" s="3"/>
      <c r="Q286" s="3"/>
    </row>
    <row r="287" spans="1:18" x14ac:dyDescent="0.3">
      <c r="A287" s="9" t="str">
        <f>IF(C287="","",COUNTA($C$4:C287))</f>
        <v/>
      </c>
      <c r="B287" s="10"/>
      <c r="C287" s="9"/>
      <c r="D287" s="9"/>
      <c r="E287" s="9"/>
      <c r="F287" s="9"/>
      <c r="G287" s="9"/>
      <c r="H287" s="9"/>
      <c r="I287" s="9"/>
      <c r="J287" s="10"/>
      <c r="K287" s="10"/>
      <c r="L287" s="10"/>
      <c r="M287" s="9"/>
      <c r="N287" s="9"/>
      <c r="O287" s="9"/>
      <c r="P287" s="10"/>
      <c r="Q287" s="10"/>
      <c r="R287" s="9"/>
    </row>
    <row r="288" spans="1:18" x14ac:dyDescent="0.3">
      <c r="A288" t="str">
        <f>IF(C288="","",COUNTA($C$4:C288))</f>
        <v/>
      </c>
      <c r="B288" s="3"/>
      <c r="J288" s="3"/>
      <c r="K288" s="3"/>
      <c r="L288" s="3"/>
      <c r="P288" s="3"/>
      <c r="Q288" s="3"/>
    </row>
    <row r="289" spans="1:18" x14ac:dyDescent="0.3">
      <c r="A289" s="9" t="str">
        <f>IF(C289="","",COUNTA($C$4:C289))</f>
        <v/>
      </c>
      <c r="B289" s="10"/>
      <c r="C289" s="9"/>
      <c r="D289" s="9"/>
      <c r="E289" s="9"/>
      <c r="F289" s="9"/>
      <c r="G289" s="9"/>
      <c r="H289" s="9"/>
      <c r="I289" s="9"/>
      <c r="J289" s="10"/>
      <c r="K289" s="10"/>
      <c r="L289" s="10"/>
      <c r="M289" s="9"/>
      <c r="N289" s="9"/>
      <c r="O289" s="9"/>
      <c r="P289" s="10"/>
      <c r="Q289" s="10"/>
      <c r="R289" s="9"/>
    </row>
    <row r="290" spans="1:18" x14ac:dyDescent="0.3">
      <c r="A290" t="str">
        <f>IF(C290="","",COUNTA($C$4:C290))</f>
        <v/>
      </c>
      <c r="B290" s="3"/>
      <c r="J290" s="3"/>
      <c r="K290" s="3"/>
      <c r="L290" s="3"/>
      <c r="P290" s="3"/>
      <c r="Q290" s="3"/>
    </row>
    <row r="291" spans="1:18" x14ac:dyDescent="0.3">
      <c r="A291" s="9" t="str">
        <f>IF(C291="","",COUNTA($C$4:C291))</f>
        <v/>
      </c>
      <c r="B291" s="10"/>
      <c r="C291" s="9"/>
      <c r="D291" s="9"/>
      <c r="E291" s="9"/>
      <c r="F291" s="9"/>
      <c r="G291" s="9"/>
      <c r="H291" s="9"/>
      <c r="I291" s="9"/>
      <c r="J291" s="10"/>
      <c r="K291" s="10"/>
      <c r="L291" s="10"/>
      <c r="M291" s="9"/>
      <c r="N291" s="9"/>
      <c r="O291" s="9"/>
      <c r="P291" s="10"/>
      <c r="Q291" s="10"/>
      <c r="R291" s="9"/>
    </row>
    <row r="292" spans="1:18" x14ac:dyDescent="0.3">
      <c r="A292" t="str">
        <f>IF(C292="","",COUNTA($C$4:C292))</f>
        <v/>
      </c>
      <c r="B292" s="3"/>
      <c r="J292" s="3"/>
      <c r="K292" s="3"/>
      <c r="L292" s="3"/>
      <c r="P292" s="3"/>
      <c r="Q292" s="3"/>
    </row>
    <row r="293" spans="1:18" x14ac:dyDescent="0.3">
      <c r="A293" s="9" t="str">
        <f>IF(C293="","",COUNTA($C$4:C293))</f>
        <v/>
      </c>
      <c r="B293" s="10"/>
      <c r="C293" s="9"/>
      <c r="D293" s="9"/>
      <c r="E293" s="9"/>
      <c r="F293" s="9"/>
      <c r="G293" s="9"/>
      <c r="H293" s="9"/>
      <c r="I293" s="9"/>
      <c r="J293" s="10"/>
      <c r="K293" s="10"/>
      <c r="L293" s="10"/>
      <c r="M293" s="9"/>
      <c r="N293" s="9"/>
      <c r="O293" s="9"/>
      <c r="P293" s="10"/>
      <c r="Q293" s="10"/>
      <c r="R293" s="9"/>
    </row>
    <row r="294" spans="1:18" x14ac:dyDescent="0.3">
      <c r="A294" t="str">
        <f>IF(C294="","",COUNTA($C$4:C294))</f>
        <v/>
      </c>
      <c r="B294" s="3"/>
      <c r="J294" s="3"/>
      <c r="K294" s="3"/>
      <c r="L294" s="3"/>
      <c r="P294" s="3"/>
      <c r="Q294" s="3"/>
    </row>
    <row r="295" spans="1:18" x14ac:dyDescent="0.3">
      <c r="A295" s="9" t="str">
        <f>IF(C295="","",COUNTA($C$4:C295))</f>
        <v/>
      </c>
      <c r="B295" s="10"/>
      <c r="C295" s="9"/>
      <c r="D295" s="9"/>
      <c r="E295" s="9"/>
      <c r="F295" s="9"/>
      <c r="G295" s="9"/>
      <c r="H295" s="9"/>
      <c r="I295" s="9"/>
      <c r="J295" s="10"/>
      <c r="K295" s="10"/>
      <c r="L295" s="10"/>
      <c r="M295" s="9"/>
      <c r="N295" s="9"/>
      <c r="O295" s="9"/>
      <c r="P295" s="10"/>
      <c r="Q295" s="10"/>
      <c r="R295" s="9"/>
    </row>
    <row r="296" spans="1:18" x14ac:dyDescent="0.3">
      <c r="A296" t="str">
        <f>IF(C296="","",COUNTA($C$4:C296))</f>
        <v/>
      </c>
      <c r="B296" s="3"/>
      <c r="J296" s="3"/>
      <c r="K296" s="3"/>
      <c r="L296" s="3"/>
      <c r="P296" s="3"/>
      <c r="Q296" s="3"/>
    </row>
    <row r="297" spans="1:18" x14ac:dyDescent="0.3">
      <c r="A297" s="9" t="str">
        <f>IF(C297="","",COUNTA($C$4:C297))</f>
        <v/>
      </c>
      <c r="B297" s="10"/>
      <c r="C297" s="9"/>
      <c r="D297" s="9"/>
      <c r="E297" s="9"/>
      <c r="F297" s="9"/>
      <c r="G297" s="9"/>
      <c r="H297" s="9"/>
      <c r="I297" s="9"/>
      <c r="J297" s="10"/>
      <c r="K297" s="10"/>
      <c r="L297" s="10"/>
      <c r="M297" s="9"/>
      <c r="N297" s="9"/>
      <c r="O297" s="9"/>
      <c r="P297" s="10"/>
      <c r="Q297" s="10"/>
      <c r="R297" s="9"/>
    </row>
    <row r="298" spans="1:18" x14ac:dyDescent="0.3">
      <c r="A298" t="str">
        <f>IF(C298="","",COUNTA($C$4:C298))</f>
        <v/>
      </c>
      <c r="B298" s="3"/>
      <c r="J298" s="3"/>
      <c r="K298" s="3"/>
      <c r="L298" s="3"/>
      <c r="P298" s="3"/>
      <c r="Q298" s="3"/>
    </row>
    <row r="299" spans="1:18" x14ac:dyDescent="0.3">
      <c r="A299" s="9" t="str">
        <f>IF(C299="","",COUNTA($C$4:C299))</f>
        <v/>
      </c>
      <c r="B299" s="10"/>
      <c r="C299" s="9"/>
      <c r="D299" s="9"/>
      <c r="E299" s="9"/>
      <c r="F299" s="9"/>
      <c r="G299" s="9"/>
      <c r="H299" s="9"/>
      <c r="I299" s="9"/>
      <c r="J299" s="10"/>
      <c r="K299" s="10"/>
      <c r="L299" s="10"/>
      <c r="M299" s="9"/>
      <c r="N299" s="9"/>
      <c r="O299" s="9"/>
      <c r="P299" s="10"/>
      <c r="Q299" s="10"/>
      <c r="R299" s="9"/>
    </row>
    <row r="300" spans="1:18" x14ac:dyDescent="0.3">
      <c r="A300" t="str">
        <f>IF(C300="","",COUNTA($C$4:C300))</f>
        <v/>
      </c>
      <c r="B300" s="3"/>
      <c r="J300" s="3"/>
      <c r="K300" s="3"/>
      <c r="L300" s="3"/>
      <c r="P300" s="3"/>
      <c r="Q300" s="3"/>
    </row>
    <row r="301" spans="1:18" x14ac:dyDescent="0.3">
      <c r="A301" s="9" t="str">
        <f>IF(C301="","",COUNTA($C$4:C301))</f>
        <v/>
      </c>
      <c r="B301" s="10"/>
      <c r="C301" s="9"/>
      <c r="D301" s="9"/>
      <c r="E301" s="9"/>
      <c r="F301" s="9"/>
      <c r="G301" s="9"/>
      <c r="H301" s="9"/>
      <c r="I301" s="9"/>
      <c r="J301" s="10"/>
      <c r="K301" s="10"/>
      <c r="L301" s="10"/>
      <c r="M301" s="9"/>
      <c r="N301" s="9"/>
      <c r="O301" s="9"/>
      <c r="P301" s="10"/>
      <c r="Q301" s="10"/>
      <c r="R301" s="9"/>
    </row>
    <row r="302" spans="1:18" x14ac:dyDescent="0.3">
      <c r="A302" t="str">
        <f>IF(C302="","",COUNTA($C$4:C302))</f>
        <v/>
      </c>
      <c r="B302" s="3"/>
      <c r="J302" s="3"/>
      <c r="K302" s="3"/>
      <c r="L302" s="3"/>
      <c r="P302" s="3"/>
      <c r="Q302" s="3"/>
    </row>
    <row r="303" spans="1:18" x14ac:dyDescent="0.3">
      <c r="A303" s="9" t="str">
        <f>IF(C303="","",COUNTA($C$4:C303))</f>
        <v/>
      </c>
      <c r="B303" s="10"/>
      <c r="C303" s="9"/>
      <c r="D303" s="9"/>
      <c r="E303" s="9"/>
      <c r="F303" s="9"/>
      <c r="G303" s="9"/>
      <c r="H303" s="9"/>
      <c r="I303" s="9"/>
      <c r="J303" s="10"/>
      <c r="K303" s="10"/>
      <c r="L303" s="10"/>
      <c r="M303" s="9"/>
      <c r="N303" s="9"/>
      <c r="O303" s="9"/>
      <c r="P303" s="10"/>
      <c r="Q303" s="10"/>
      <c r="R303" s="9"/>
    </row>
    <row r="304" spans="1:18" x14ac:dyDescent="0.3">
      <c r="A304" t="str">
        <f>IF(C304="","",COUNTA($C$4:C304))</f>
        <v/>
      </c>
      <c r="B304" s="3"/>
      <c r="J304" s="3"/>
      <c r="K304" s="3"/>
      <c r="L304" s="3"/>
      <c r="P304" s="3"/>
      <c r="Q304" s="3"/>
    </row>
    <row r="305" spans="1:18" x14ac:dyDescent="0.3">
      <c r="A305" s="9" t="str">
        <f>IF(C305="","",COUNTA($C$4:C305))</f>
        <v/>
      </c>
      <c r="B305" s="10"/>
      <c r="C305" s="9"/>
      <c r="D305" s="9"/>
      <c r="E305" s="9"/>
      <c r="F305" s="9"/>
      <c r="G305" s="9"/>
      <c r="H305" s="9"/>
      <c r="I305" s="9"/>
      <c r="J305" s="10"/>
      <c r="K305" s="10"/>
      <c r="L305" s="10"/>
      <c r="M305" s="9"/>
      <c r="N305" s="9"/>
      <c r="O305" s="9"/>
      <c r="P305" s="10"/>
      <c r="Q305" s="10"/>
      <c r="R305" s="9"/>
    </row>
    <row r="306" spans="1:18" x14ac:dyDescent="0.3">
      <c r="A306" t="str">
        <f>IF(C306="","",COUNTA($C$4:C306))</f>
        <v/>
      </c>
      <c r="B306" s="3"/>
      <c r="J306" s="3"/>
      <c r="K306" s="3"/>
      <c r="L306" s="3"/>
      <c r="P306" s="3"/>
      <c r="Q306" s="3"/>
    </row>
    <row r="307" spans="1:18" x14ac:dyDescent="0.3">
      <c r="A307" s="9" t="str">
        <f>IF(C307="","",COUNTA($C$4:C307))</f>
        <v/>
      </c>
      <c r="B307" s="10"/>
      <c r="C307" s="9"/>
      <c r="D307" s="9"/>
      <c r="E307" s="9"/>
      <c r="F307" s="9"/>
      <c r="G307" s="9"/>
      <c r="H307" s="9"/>
      <c r="I307" s="9"/>
      <c r="J307" s="10"/>
      <c r="K307" s="10"/>
      <c r="L307" s="10"/>
      <c r="M307" s="9"/>
      <c r="N307" s="9"/>
      <c r="O307" s="9"/>
      <c r="P307" s="10"/>
      <c r="Q307" s="10"/>
      <c r="R307" s="9"/>
    </row>
    <row r="308" spans="1:18" x14ac:dyDescent="0.3">
      <c r="A308" t="str">
        <f>IF(C308="","",COUNTA($C$4:C308))</f>
        <v/>
      </c>
      <c r="B308" s="3"/>
      <c r="J308" s="3"/>
      <c r="K308" s="3"/>
      <c r="L308" s="3"/>
      <c r="P308" s="3"/>
      <c r="Q308" s="3"/>
    </row>
    <row r="309" spans="1:18" x14ac:dyDescent="0.3">
      <c r="A309" s="9" t="str">
        <f>IF(C309="","",COUNTA($C$4:C309))</f>
        <v/>
      </c>
      <c r="B309" s="10"/>
      <c r="C309" s="9"/>
      <c r="D309" s="9"/>
      <c r="E309" s="9"/>
      <c r="F309" s="9"/>
      <c r="G309" s="9"/>
      <c r="H309" s="9"/>
      <c r="I309" s="9"/>
      <c r="J309" s="10"/>
      <c r="K309" s="10"/>
      <c r="L309" s="10"/>
      <c r="M309" s="9"/>
      <c r="N309" s="9"/>
      <c r="O309" s="9"/>
      <c r="P309" s="10"/>
      <c r="Q309" s="10"/>
      <c r="R309" s="9"/>
    </row>
    <row r="310" spans="1:18" x14ac:dyDescent="0.3">
      <c r="A310" t="str">
        <f>IF(C310="","",COUNTA($C$4:C310))</f>
        <v/>
      </c>
      <c r="B310" s="3"/>
      <c r="J310" s="3"/>
      <c r="K310" s="3"/>
      <c r="L310" s="3"/>
      <c r="P310" s="3"/>
      <c r="Q310" s="3"/>
    </row>
    <row r="311" spans="1:18" x14ac:dyDescent="0.3">
      <c r="A311" s="9" t="str">
        <f>IF(C311="","",COUNTA($C$4:C311))</f>
        <v/>
      </c>
      <c r="B311" s="10"/>
      <c r="C311" s="9"/>
      <c r="D311" s="9"/>
      <c r="E311" s="9"/>
      <c r="F311" s="9"/>
      <c r="G311" s="9"/>
      <c r="H311" s="9"/>
      <c r="I311" s="9"/>
      <c r="J311" s="10"/>
      <c r="K311" s="10"/>
      <c r="L311" s="10"/>
      <c r="M311" s="9"/>
      <c r="N311" s="9"/>
      <c r="O311" s="9"/>
      <c r="P311" s="10"/>
      <c r="Q311" s="10"/>
      <c r="R311" s="9"/>
    </row>
    <row r="312" spans="1:18" x14ac:dyDescent="0.3">
      <c r="A312" t="str">
        <f>IF(C312="","",COUNTA($C$4:C312))</f>
        <v/>
      </c>
      <c r="B312" s="3"/>
      <c r="J312" s="3"/>
      <c r="K312" s="3"/>
      <c r="L312" s="3"/>
      <c r="P312" s="3"/>
      <c r="Q312" s="3"/>
    </row>
    <row r="313" spans="1:18" x14ac:dyDescent="0.3">
      <c r="A313" s="9" t="str">
        <f>IF(C313="","",COUNTA($C$4:C313))</f>
        <v/>
      </c>
      <c r="B313" s="10"/>
      <c r="C313" s="9"/>
      <c r="D313" s="9"/>
      <c r="E313" s="9"/>
      <c r="F313" s="9"/>
      <c r="G313" s="9"/>
      <c r="H313" s="9"/>
      <c r="I313" s="9"/>
      <c r="J313" s="10"/>
      <c r="K313" s="10"/>
      <c r="L313" s="10"/>
      <c r="M313" s="9"/>
      <c r="N313" s="9"/>
      <c r="O313" s="9"/>
      <c r="P313" s="10"/>
      <c r="Q313" s="10"/>
      <c r="R313" s="9"/>
    </row>
    <row r="314" spans="1:18" x14ac:dyDescent="0.3">
      <c r="A314" t="str">
        <f>IF(C314="","",COUNTA($C$4:C314))</f>
        <v/>
      </c>
      <c r="B314" s="3"/>
      <c r="J314" s="3"/>
      <c r="K314" s="3"/>
      <c r="L314" s="3"/>
      <c r="P314" s="3"/>
      <c r="Q314" s="3"/>
    </row>
    <row r="315" spans="1:18" x14ac:dyDescent="0.3">
      <c r="A315" s="9" t="str">
        <f>IF(C315="","",COUNTA($C$4:C315))</f>
        <v/>
      </c>
      <c r="B315" s="10"/>
      <c r="C315" s="9"/>
      <c r="D315" s="9"/>
      <c r="E315" s="9"/>
      <c r="F315" s="9"/>
      <c r="G315" s="9"/>
      <c r="H315" s="9"/>
      <c r="I315" s="9"/>
      <c r="J315" s="10"/>
      <c r="K315" s="10"/>
      <c r="L315" s="10"/>
      <c r="M315" s="9"/>
      <c r="N315" s="9"/>
      <c r="O315" s="9"/>
      <c r="P315" s="10"/>
      <c r="Q315" s="10"/>
      <c r="R315" s="9"/>
    </row>
    <row r="316" spans="1:18" x14ac:dyDescent="0.3">
      <c r="A316" t="str">
        <f>IF(C316="","",COUNTA($C$4:C316))</f>
        <v/>
      </c>
      <c r="B316" s="3"/>
      <c r="J316" s="3"/>
      <c r="K316" s="3"/>
      <c r="L316" s="3"/>
      <c r="P316" s="3"/>
      <c r="Q316" s="3"/>
    </row>
    <row r="317" spans="1:18" x14ac:dyDescent="0.3">
      <c r="A317" s="9" t="str">
        <f>IF(C317="","",COUNTA($C$4:C317))</f>
        <v/>
      </c>
      <c r="B317" s="10"/>
      <c r="C317" s="9"/>
      <c r="D317" s="9"/>
      <c r="E317" s="9"/>
      <c r="F317" s="9"/>
      <c r="G317" s="9"/>
      <c r="H317" s="9"/>
      <c r="I317" s="9"/>
      <c r="J317" s="10"/>
      <c r="K317" s="10"/>
      <c r="L317" s="10"/>
      <c r="M317" s="9"/>
      <c r="N317" s="9"/>
      <c r="O317" s="9"/>
      <c r="P317" s="10"/>
      <c r="Q317" s="10"/>
      <c r="R317" s="9"/>
    </row>
    <row r="318" spans="1:18" x14ac:dyDescent="0.3">
      <c r="A318" t="str">
        <f>IF(C318="","",COUNTA($C$4:C318))</f>
        <v/>
      </c>
      <c r="B318" s="3"/>
      <c r="J318" s="3"/>
      <c r="K318" s="3"/>
      <c r="L318" s="3"/>
      <c r="P318" s="3"/>
      <c r="Q318" s="3"/>
    </row>
    <row r="319" spans="1:18" x14ac:dyDescent="0.3">
      <c r="A319" s="9" t="str">
        <f>IF(C319="","",COUNTA($C$4:C319))</f>
        <v/>
      </c>
      <c r="B319" s="10"/>
      <c r="C319" s="9"/>
      <c r="D319" s="9"/>
      <c r="E319" s="9"/>
      <c r="F319" s="9"/>
      <c r="G319" s="9"/>
      <c r="H319" s="9"/>
      <c r="I319" s="9"/>
      <c r="J319" s="10"/>
      <c r="K319" s="10"/>
      <c r="L319" s="10"/>
      <c r="M319" s="9"/>
      <c r="N319" s="9"/>
      <c r="O319" s="9"/>
      <c r="P319" s="10"/>
      <c r="Q319" s="10"/>
      <c r="R319" s="9"/>
    </row>
    <row r="320" spans="1:18" x14ac:dyDescent="0.3">
      <c r="A320" t="str">
        <f>IF(C320="","",COUNTA($C$4:C320))</f>
        <v/>
      </c>
      <c r="B320" s="3"/>
      <c r="J320" s="3"/>
      <c r="K320" s="3"/>
      <c r="L320" s="3"/>
      <c r="P320" s="3"/>
      <c r="Q320" s="3"/>
    </row>
    <row r="321" spans="1:18" x14ac:dyDescent="0.3">
      <c r="A321" s="9" t="str">
        <f>IF(C321="","",COUNTA($C$4:C321))</f>
        <v/>
      </c>
      <c r="B321" s="10"/>
      <c r="C321" s="9"/>
      <c r="D321" s="9"/>
      <c r="E321" s="9"/>
      <c r="F321" s="9"/>
      <c r="G321" s="9"/>
      <c r="H321" s="9"/>
      <c r="I321" s="9"/>
      <c r="J321" s="10"/>
      <c r="K321" s="10"/>
      <c r="L321" s="10"/>
      <c r="M321" s="9"/>
      <c r="N321" s="9"/>
      <c r="O321" s="9"/>
      <c r="P321" s="10"/>
      <c r="Q321" s="10"/>
      <c r="R321" s="9"/>
    </row>
    <row r="322" spans="1:18" x14ac:dyDescent="0.3">
      <c r="A322" t="str">
        <f>IF(C322="","",COUNTA($C$4:C322))</f>
        <v/>
      </c>
      <c r="B322" s="3"/>
      <c r="J322" s="3"/>
      <c r="K322" s="3"/>
      <c r="L322" s="3"/>
      <c r="P322" s="3"/>
      <c r="Q322" s="3"/>
    </row>
    <row r="323" spans="1:18" x14ac:dyDescent="0.3">
      <c r="A323" s="9" t="str">
        <f>IF(C323="","",COUNTA($C$4:C323))</f>
        <v/>
      </c>
      <c r="B323" s="10"/>
      <c r="C323" s="9"/>
      <c r="D323" s="9"/>
      <c r="E323" s="9"/>
      <c r="F323" s="9"/>
      <c r="G323" s="9"/>
      <c r="H323" s="9"/>
      <c r="I323" s="9"/>
      <c r="J323" s="10"/>
      <c r="K323" s="10"/>
      <c r="L323" s="10"/>
      <c r="M323" s="9"/>
      <c r="N323" s="9"/>
      <c r="O323" s="9"/>
      <c r="P323" s="10"/>
      <c r="Q323" s="10"/>
      <c r="R323" s="9"/>
    </row>
    <row r="324" spans="1:18" x14ac:dyDescent="0.3">
      <c r="A324" t="str">
        <f>IF(C324="","",COUNTA($C$4:C324))</f>
        <v/>
      </c>
      <c r="B324" s="3"/>
      <c r="J324" s="3"/>
      <c r="K324" s="3"/>
      <c r="L324" s="3"/>
      <c r="P324" s="3"/>
      <c r="Q324" s="3"/>
    </row>
    <row r="325" spans="1:18" x14ac:dyDescent="0.3">
      <c r="A325" s="9" t="str">
        <f>IF(C325="","",COUNTA($C$4:C325))</f>
        <v/>
      </c>
      <c r="B325" s="10"/>
      <c r="C325" s="9"/>
      <c r="D325" s="9"/>
      <c r="E325" s="9"/>
      <c r="F325" s="9"/>
      <c r="G325" s="9"/>
      <c r="H325" s="9"/>
      <c r="I325" s="9"/>
      <c r="J325" s="10"/>
      <c r="K325" s="10"/>
      <c r="L325" s="10"/>
      <c r="M325" s="9"/>
      <c r="N325" s="9"/>
      <c r="O325" s="9"/>
      <c r="P325" s="10"/>
      <c r="Q325" s="10"/>
      <c r="R325" s="9"/>
    </row>
    <row r="326" spans="1:18" x14ac:dyDescent="0.3">
      <c r="A326" t="str">
        <f>IF(C326="","",COUNTA($C$4:C326))</f>
        <v/>
      </c>
      <c r="B326" s="3"/>
      <c r="J326" s="3"/>
      <c r="K326" s="3"/>
      <c r="L326" s="3"/>
      <c r="P326" s="3"/>
      <c r="Q326" s="3"/>
    </row>
    <row r="327" spans="1:18" x14ac:dyDescent="0.3">
      <c r="A327" s="9" t="str">
        <f>IF(C327="","",COUNTA($C$4:C327))</f>
        <v/>
      </c>
      <c r="B327" s="10"/>
      <c r="C327" s="9"/>
      <c r="D327" s="9"/>
      <c r="E327" s="9"/>
      <c r="F327" s="9"/>
      <c r="G327" s="9"/>
      <c r="H327" s="9"/>
      <c r="I327" s="9"/>
      <c r="J327" s="10"/>
      <c r="K327" s="10"/>
      <c r="L327" s="10"/>
      <c r="M327" s="9"/>
      <c r="N327" s="9"/>
      <c r="O327" s="9"/>
      <c r="P327" s="10"/>
      <c r="Q327" s="10"/>
      <c r="R327" s="9"/>
    </row>
    <row r="328" spans="1:18" x14ac:dyDescent="0.3">
      <c r="A328" t="str">
        <f>IF(C328="","",COUNTA($C$4:C328))</f>
        <v/>
      </c>
      <c r="B328" s="3"/>
      <c r="J328" s="3"/>
      <c r="K328" s="3"/>
      <c r="L328" s="3"/>
      <c r="P328" s="3"/>
      <c r="Q328" s="3"/>
    </row>
    <row r="329" spans="1:18" x14ac:dyDescent="0.3">
      <c r="A329" s="9" t="str">
        <f>IF(C329="","",COUNTA($C$4:C329))</f>
        <v/>
      </c>
      <c r="B329" s="10"/>
      <c r="C329" s="9"/>
      <c r="D329" s="9"/>
      <c r="E329" s="9"/>
      <c r="F329" s="9"/>
      <c r="G329" s="9"/>
      <c r="H329" s="9"/>
      <c r="I329" s="9"/>
      <c r="J329" s="10"/>
      <c r="K329" s="10"/>
      <c r="L329" s="10"/>
      <c r="M329" s="9"/>
      <c r="N329" s="9"/>
      <c r="O329" s="9"/>
      <c r="P329" s="10"/>
      <c r="Q329" s="10"/>
      <c r="R329" s="9"/>
    </row>
    <row r="330" spans="1:18" x14ac:dyDescent="0.3">
      <c r="A330" t="str">
        <f>IF(C330="","",COUNTA($C$4:C330))</f>
        <v/>
      </c>
      <c r="B330" s="3"/>
      <c r="J330" s="3"/>
      <c r="K330" s="3"/>
      <c r="L330" s="3"/>
      <c r="P330" s="3"/>
      <c r="Q330" s="3"/>
    </row>
    <row r="331" spans="1:18" x14ac:dyDescent="0.3">
      <c r="A331" s="9" t="str">
        <f>IF(C331="","",COUNTA($C$4:C331))</f>
        <v/>
      </c>
      <c r="B331" s="10"/>
      <c r="C331" s="9"/>
      <c r="D331" s="9"/>
      <c r="E331" s="9"/>
      <c r="F331" s="9"/>
      <c r="G331" s="9"/>
      <c r="H331" s="9"/>
      <c r="I331" s="9"/>
      <c r="J331" s="10"/>
      <c r="K331" s="10"/>
      <c r="L331" s="10"/>
      <c r="M331" s="9"/>
      <c r="N331" s="9"/>
      <c r="O331" s="9"/>
      <c r="P331" s="10"/>
      <c r="Q331" s="10"/>
      <c r="R331" s="9"/>
    </row>
    <row r="332" spans="1:18" x14ac:dyDescent="0.3">
      <c r="A332" t="str">
        <f>IF(C332="","",COUNTA($C$4:C332))</f>
        <v/>
      </c>
      <c r="B332" s="3"/>
      <c r="J332" s="3"/>
      <c r="K332" s="3"/>
      <c r="L332" s="3"/>
      <c r="P332" s="3"/>
      <c r="Q332" s="3"/>
    </row>
    <row r="333" spans="1:18" x14ac:dyDescent="0.3">
      <c r="A333" s="9" t="str">
        <f>IF(C333="","",COUNTA($C$4:C333))</f>
        <v/>
      </c>
      <c r="B333" s="10"/>
      <c r="C333" s="9"/>
      <c r="D333" s="9"/>
      <c r="E333" s="9"/>
      <c r="F333" s="9"/>
      <c r="G333" s="9"/>
      <c r="H333" s="9"/>
      <c r="I333" s="9"/>
      <c r="J333" s="10"/>
      <c r="K333" s="10"/>
      <c r="L333" s="10"/>
      <c r="M333" s="9"/>
      <c r="N333" s="9"/>
      <c r="O333" s="9"/>
      <c r="P333" s="10"/>
      <c r="Q333" s="10"/>
      <c r="R333" s="9"/>
    </row>
    <row r="334" spans="1:18" x14ac:dyDescent="0.3">
      <c r="A334" t="str">
        <f>IF(C334="","",COUNTA($C$4:C334))</f>
        <v/>
      </c>
      <c r="B334" s="3"/>
      <c r="J334" s="3"/>
      <c r="K334" s="3"/>
      <c r="L334" s="3"/>
      <c r="P334" s="3"/>
      <c r="Q334" s="3"/>
    </row>
    <row r="335" spans="1:18" x14ac:dyDescent="0.3">
      <c r="A335" s="9" t="str">
        <f>IF(C335="","",COUNTA($C$4:C335))</f>
        <v/>
      </c>
      <c r="B335" s="10"/>
      <c r="C335" s="9"/>
      <c r="D335" s="9"/>
      <c r="E335" s="9"/>
      <c r="F335" s="9"/>
      <c r="G335" s="9"/>
      <c r="H335" s="9"/>
      <c r="I335" s="9"/>
      <c r="J335" s="10"/>
      <c r="K335" s="10"/>
      <c r="L335" s="10"/>
      <c r="M335" s="9"/>
      <c r="N335" s="9"/>
      <c r="O335" s="9"/>
      <c r="P335" s="10"/>
      <c r="Q335" s="10"/>
      <c r="R335" s="9"/>
    </row>
    <row r="336" spans="1:18" x14ac:dyDescent="0.3">
      <c r="A336" t="str">
        <f>IF(C336="","",COUNTA($C$4:C336))</f>
        <v/>
      </c>
      <c r="B336" s="3"/>
      <c r="J336" s="3"/>
      <c r="K336" s="3"/>
      <c r="L336" s="3"/>
      <c r="P336" s="3"/>
      <c r="Q336" s="3"/>
    </row>
    <row r="337" spans="1:18" x14ac:dyDescent="0.3">
      <c r="A337" s="9" t="str">
        <f>IF(C337="","",COUNTA($C$4:C337))</f>
        <v/>
      </c>
      <c r="B337" s="10"/>
      <c r="C337" s="9"/>
      <c r="D337" s="9"/>
      <c r="E337" s="9"/>
      <c r="F337" s="9"/>
      <c r="G337" s="9"/>
      <c r="H337" s="9"/>
      <c r="I337" s="9"/>
      <c r="J337" s="10"/>
      <c r="K337" s="10"/>
      <c r="L337" s="10"/>
      <c r="M337" s="9"/>
      <c r="N337" s="9"/>
      <c r="O337" s="9"/>
      <c r="P337" s="10"/>
      <c r="Q337" s="10"/>
      <c r="R337" s="9"/>
    </row>
    <row r="338" spans="1:18" x14ac:dyDescent="0.3">
      <c r="A338" t="str">
        <f>IF(C338="","",COUNTA($C$4:C338))</f>
        <v/>
      </c>
      <c r="B338" s="3"/>
      <c r="J338" s="3"/>
      <c r="K338" s="3"/>
      <c r="L338" s="3"/>
      <c r="P338" s="3"/>
      <c r="Q338" s="3"/>
    </row>
    <row r="339" spans="1:18" x14ac:dyDescent="0.3">
      <c r="A339" s="9" t="str">
        <f>IF(C339="","",COUNTA($C$4:C339))</f>
        <v/>
      </c>
      <c r="B339" s="10"/>
      <c r="C339" s="9"/>
      <c r="D339" s="9"/>
      <c r="E339" s="9"/>
      <c r="F339" s="9"/>
      <c r="G339" s="9"/>
      <c r="H339" s="9"/>
      <c r="I339" s="9"/>
      <c r="J339" s="10"/>
      <c r="K339" s="10"/>
      <c r="L339" s="10"/>
      <c r="M339" s="9"/>
      <c r="N339" s="9"/>
      <c r="O339" s="9"/>
      <c r="P339" s="10"/>
      <c r="Q339" s="10"/>
      <c r="R339" s="9"/>
    </row>
    <row r="340" spans="1:18" x14ac:dyDescent="0.3">
      <c r="A340" t="str">
        <f>IF(C340="","",COUNTA($C$4:C340))</f>
        <v/>
      </c>
      <c r="B340" s="3"/>
      <c r="J340" s="3"/>
      <c r="K340" s="3"/>
      <c r="L340" s="3"/>
      <c r="P340" s="3"/>
      <c r="Q340" s="3"/>
    </row>
    <row r="341" spans="1:18" x14ac:dyDescent="0.3">
      <c r="A341" s="9" t="str">
        <f>IF(C341="","",COUNTA($C$4:C341))</f>
        <v/>
      </c>
      <c r="B341" s="10"/>
      <c r="C341" s="9"/>
      <c r="D341" s="9"/>
      <c r="E341" s="9"/>
      <c r="F341" s="9"/>
      <c r="G341" s="9"/>
      <c r="H341" s="9"/>
      <c r="I341" s="9"/>
      <c r="J341" s="10"/>
      <c r="K341" s="10"/>
      <c r="L341" s="10"/>
      <c r="M341" s="9"/>
      <c r="N341" s="9"/>
      <c r="O341" s="9"/>
      <c r="P341" s="10"/>
      <c r="Q341" s="10"/>
      <c r="R341" s="9"/>
    </row>
    <row r="342" spans="1:18" x14ac:dyDescent="0.3">
      <c r="A342" t="str">
        <f>IF(C342="","",COUNTA($C$4:C342))</f>
        <v/>
      </c>
      <c r="B342" s="3"/>
      <c r="J342" s="3"/>
      <c r="K342" s="3"/>
      <c r="L342" s="3"/>
      <c r="P342" s="3"/>
      <c r="Q342" s="3"/>
    </row>
    <row r="343" spans="1:18" x14ac:dyDescent="0.3">
      <c r="A343" s="9" t="str">
        <f>IF(C343="","",COUNTA($C$4:C343))</f>
        <v/>
      </c>
      <c r="B343" s="10"/>
      <c r="C343" s="9"/>
      <c r="D343" s="9"/>
      <c r="E343" s="9"/>
      <c r="F343" s="9"/>
      <c r="G343" s="9"/>
      <c r="H343" s="9"/>
      <c r="I343" s="9"/>
      <c r="J343" s="10"/>
      <c r="K343" s="10"/>
      <c r="L343" s="10"/>
      <c r="M343" s="9"/>
      <c r="N343" s="9"/>
      <c r="O343" s="9"/>
      <c r="P343" s="10"/>
      <c r="Q343" s="10"/>
      <c r="R343" s="9"/>
    </row>
    <row r="344" spans="1:18" x14ac:dyDescent="0.3">
      <c r="A344" t="str">
        <f>IF(C344="","",COUNTA($C$4:C344))</f>
        <v/>
      </c>
      <c r="B344" s="3"/>
      <c r="J344" s="3"/>
      <c r="K344" s="3"/>
      <c r="L344" s="3"/>
      <c r="P344" s="3"/>
      <c r="Q344" s="3"/>
    </row>
    <row r="345" spans="1:18" x14ac:dyDescent="0.3">
      <c r="A345" s="9" t="str">
        <f>IF(C345="","",COUNTA($C$4:C345))</f>
        <v/>
      </c>
      <c r="B345" s="10"/>
      <c r="C345" s="9"/>
      <c r="D345" s="9"/>
      <c r="E345" s="9"/>
      <c r="F345" s="9"/>
      <c r="G345" s="9"/>
      <c r="H345" s="9"/>
      <c r="I345" s="9"/>
      <c r="J345" s="10"/>
      <c r="K345" s="10"/>
      <c r="L345" s="10"/>
      <c r="M345" s="9"/>
      <c r="N345" s="9"/>
      <c r="O345" s="9"/>
      <c r="P345" s="10"/>
      <c r="Q345" s="10"/>
      <c r="R345" s="9"/>
    </row>
    <row r="346" spans="1:18" x14ac:dyDescent="0.3">
      <c r="A346" t="str">
        <f>IF(C346="","",COUNTA($C$4:C346))</f>
        <v/>
      </c>
      <c r="B346" s="3"/>
      <c r="J346" s="3"/>
      <c r="K346" s="3"/>
      <c r="L346" s="3"/>
      <c r="P346" s="3"/>
      <c r="Q346" s="3"/>
    </row>
    <row r="347" spans="1:18" x14ac:dyDescent="0.3">
      <c r="A347" s="9" t="str">
        <f>IF(C347="","",COUNTA($C$4:C347))</f>
        <v/>
      </c>
      <c r="B347" s="10"/>
      <c r="C347" s="9"/>
      <c r="D347" s="9"/>
      <c r="E347" s="9"/>
      <c r="F347" s="9"/>
      <c r="G347" s="9"/>
      <c r="H347" s="9"/>
      <c r="I347" s="9"/>
      <c r="J347" s="10"/>
      <c r="K347" s="10"/>
      <c r="L347" s="10"/>
      <c r="M347" s="9"/>
      <c r="N347" s="9"/>
      <c r="O347" s="9"/>
      <c r="P347" s="10"/>
      <c r="Q347" s="10"/>
      <c r="R347" s="9"/>
    </row>
    <row r="348" spans="1:18" x14ac:dyDescent="0.3">
      <c r="A348" t="str">
        <f>IF(C348="","",COUNTA($C$4:C348))</f>
        <v/>
      </c>
      <c r="B348" s="3"/>
      <c r="J348" s="3"/>
      <c r="K348" s="3"/>
      <c r="L348" s="3"/>
      <c r="P348" s="3"/>
      <c r="Q348" s="3"/>
    </row>
    <row r="349" spans="1:18" x14ac:dyDescent="0.3">
      <c r="A349" s="9" t="str">
        <f>IF(C349="","",COUNTA($C$4:C349))</f>
        <v/>
      </c>
      <c r="B349" s="10"/>
      <c r="C349" s="9"/>
      <c r="D349" s="9"/>
      <c r="E349" s="9"/>
      <c r="F349" s="9"/>
      <c r="G349" s="9"/>
      <c r="H349" s="9"/>
      <c r="I349" s="9"/>
      <c r="J349" s="10"/>
      <c r="K349" s="10"/>
      <c r="L349" s="10"/>
      <c r="M349" s="9"/>
      <c r="N349" s="9"/>
      <c r="O349" s="9"/>
      <c r="P349" s="10"/>
      <c r="Q349" s="10"/>
      <c r="R349" s="9"/>
    </row>
    <row r="350" spans="1:18" x14ac:dyDescent="0.3">
      <c r="A350" t="str">
        <f>IF(C350="","",COUNTA($C$4:C350))</f>
        <v/>
      </c>
      <c r="B350" s="3"/>
      <c r="J350" s="3"/>
      <c r="K350" s="3"/>
      <c r="L350" s="3"/>
      <c r="P350" s="3"/>
      <c r="Q350" s="3"/>
    </row>
    <row r="351" spans="1:18" x14ac:dyDescent="0.3">
      <c r="A351" s="9" t="str">
        <f>IF(C351="","",COUNTA($C$4:C351))</f>
        <v/>
      </c>
      <c r="B351" s="10"/>
      <c r="C351" s="9"/>
      <c r="D351" s="9"/>
      <c r="E351" s="9"/>
      <c r="F351" s="9"/>
      <c r="G351" s="9"/>
      <c r="H351" s="9"/>
      <c r="I351" s="9"/>
      <c r="J351" s="10"/>
      <c r="K351" s="10"/>
      <c r="L351" s="10"/>
      <c r="M351" s="9"/>
      <c r="N351" s="9"/>
      <c r="O351" s="9"/>
      <c r="P351" s="10"/>
      <c r="Q351" s="10"/>
      <c r="R351" s="9"/>
    </row>
    <row r="352" spans="1:18" x14ac:dyDescent="0.3">
      <c r="A352" t="str">
        <f>IF(C352="","",COUNTA($C$4:C352))</f>
        <v/>
      </c>
      <c r="B352" s="3"/>
      <c r="J352" s="3"/>
      <c r="K352" s="3"/>
      <c r="L352" s="3"/>
      <c r="P352" s="3"/>
      <c r="Q352" s="3"/>
    </row>
    <row r="353" spans="1:18" x14ac:dyDescent="0.3">
      <c r="A353" s="9" t="str">
        <f>IF(C353="","",COUNTA($C$4:C353))</f>
        <v/>
      </c>
      <c r="B353" s="10"/>
      <c r="C353" s="9"/>
      <c r="D353" s="9"/>
      <c r="E353" s="9"/>
      <c r="F353" s="9"/>
      <c r="G353" s="9"/>
      <c r="H353" s="9"/>
      <c r="I353" s="9"/>
      <c r="J353" s="10"/>
      <c r="K353" s="10"/>
      <c r="L353" s="10"/>
      <c r="M353" s="9"/>
      <c r="N353" s="9"/>
      <c r="O353" s="9"/>
      <c r="P353" s="10"/>
      <c r="Q353" s="10"/>
      <c r="R353" s="9"/>
    </row>
    <row r="354" spans="1:18" x14ac:dyDescent="0.3">
      <c r="A354" t="str">
        <f>IF(C354="","",COUNTA($C$4:C354))</f>
        <v/>
      </c>
      <c r="B354" s="3"/>
      <c r="J354" s="3"/>
      <c r="K354" s="3"/>
      <c r="L354" s="3"/>
      <c r="P354" s="3"/>
      <c r="Q354" s="3"/>
    </row>
    <row r="355" spans="1:18" x14ac:dyDescent="0.3">
      <c r="A355" s="9" t="str">
        <f>IF(C355="","",COUNTA($C$4:C355))</f>
        <v/>
      </c>
      <c r="B355" s="10"/>
      <c r="C355" s="9"/>
      <c r="D355" s="9"/>
      <c r="E355" s="9"/>
      <c r="F355" s="9"/>
      <c r="G355" s="9"/>
      <c r="H355" s="9"/>
      <c r="I355" s="9"/>
      <c r="J355" s="10"/>
      <c r="K355" s="10"/>
      <c r="L355" s="10"/>
      <c r="M355" s="9"/>
      <c r="N355" s="9"/>
      <c r="O355" s="9"/>
      <c r="P355" s="10"/>
      <c r="Q355" s="10"/>
      <c r="R355" s="9"/>
    </row>
    <row r="356" spans="1:18" x14ac:dyDescent="0.3">
      <c r="A356" t="str">
        <f>IF(C356="","",COUNTA($C$4:C356))</f>
        <v/>
      </c>
      <c r="B356" s="3"/>
      <c r="J356" s="3"/>
      <c r="K356" s="3"/>
      <c r="L356" s="3"/>
      <c r="P356" s="3"/>
      <c r="Q356" s="3"/>
    </row>
    <row r="357" spans="1:18" x14ac:dyDescent="0.3">
      <c r="A357" s="9" t="str">
        <f>IF(C357="","",COUNTA($C$4:C357))</f>
        <v/>
      </c>
      <c r="B357" s="10"/>
      <c r="C357" s="9"/>
      <c r="D357" s="9"/>
      <c r="E357" s="9"/>
      <c r="F357" s="9"/>
      <c r="G357" s="9"/>
      <c r="H357" s="9"/>
      <c r="I357" s="9"/>
      <c r="J357" s="10"/>
      <c r="K357" s="10"/>
      <c r="L357" s="10"/>
      <c r="M357" s="9"/>
      <c r="N357" s="9"/>
      <c r="O357" s="9"/>
      <c r="P357" s="10"/>
      <c r="Q357" s="10"/>
      <c r="R357" s="9"/>
    </row>
    <row r="358" spans="1:18" x14ac:dyDescent="0.3">
      <c r="A358" t="str">
        <f>IF(C358="","",COUNTA($C$4:C358))</f>
        <v/>
      </c>
      <c r="B358" s="3"/>
      <c r="J358" s="3"/>
      <c r="K358" s="3"/>
      <c r="L358" s="3"/>
      <c r="P358" s="3"/>
      <c r="Q358" s="3"/>
    </row>
    <row r="359" spans="1:18" x14ac:dyDescent="0.3">
      <c r="A359" s="9" t="str">
        <f>IF(C359="","",COUNTA($C$4:C359))</f>
        <v/>
      </c>
      <c r="B359" s="10"/>
      <c r="C359" s="9"/>
      <c r="D359" s="9"/>
      <c r="E359" s="9"/>
      <c r="F359" s="9"/>
      <c r="G359" s="9"/>
      <c r="H359" s="9"/>
      <c r="I359" s="9"/>
      <c r="J359" s="10"/>
      <c r="K359" s="10"/>
      <c r="L359" s="10"/>
      <c r="M359" s="9"/>
      <c r="N359" s="9"/>
      <c r="O359" s="9"/>
      <c r="P359" s="10"/>
      <c r="Q359" s="10"/>
      <c r="R359" s="9"/>
    </row>
    <row r="360" spans="1:18" x14ac:dyDescent="0.3">
      <c r="A360" t="str">
        <f>IF(C360="","",COUNTA($C$4:C360))</f>
        <v/>
      </c>
      <c r="B360" s="3"/>
      <c r="J360" s="3"/>
      <c r="K360" s="3"/>
      <c r="L360" s="3"/>
      <c r="P360" s="3"/>
      <c r="Q360" s="3"/>
    </row>
    <row r="361" spans="1:18" x14ac:dyDescent="0.3">
      <c r="A361" s="9" t="str">
        <f>IF(C361="","",COUNTA($C$4:C361))</f>
        <v/>
      </c>
      <c r="B361" s="10"/>
      <c r="C361" s="9"/>
      <c r="D361" s="9"/>
      <c r="E361" s="9"/>
      <c r="F361" s="9"/>
      <c r="G361" s="9"/>
      <c r="H361" s="9"/>
      <c r="I361" s="9"/>
      <c r="J361" s="10"/>
      <c r="K361" s="10"/>
      <c r="L361" s="10"/>
      <c r="M361" s="9"/>
      <c r="N361" s="9"/>
      <c r="O361" s="9"/>
      <c r="P361" s="10"/>
      <c r="Q361" s="10"/>
      <c r="R361" s="9"/>
    </row>
    <row r="362" spans="1:18" x14ac:dyDescent="0.3">
      <c r="A362" t="str">
        <f>IF(C362="","",COUNTA($C$4:C362))</f>
        <v/>
      </c>
      <c r="B362" s="3"/>
      <c r="J362" s="3"/>
      <c r="K362" s="3"/>
      <c r="L362" s="3"/>
      <c r="P362" s="3"/>
      <c r="Q362" s="3"/>
    </row>
    <row r="363" spans="1:18" x14ac:dyDescent="0.3">
      <c r="A363" s="9" t="str">
        <f>IF(C363="","",COUNTA($C$4:C363))</f>
        <v/>
      </c>
      <c r="B363" s="10"/>
      <c r="C363" s="9"/>
      <c r="D363" s="9"/>
      <c r="E363" s="9"/>
      <c r="F363" s="9"/>
      <c r="G363" s="9"/>
      <c r="H363" s="9"/>
      <c r="I363" s="9"/>
      <c r="J363" s="10"/>
      <c r="K363" s="10"/>
      <c r="L363" s="10"/>
      <c r="M363" s="9"/>
      <c r="N363" s="9"/>
      <c r="O363" s="9"/>
      <c r="P363" s="10"/>
      <c r="Q363" s="10"/>
      <c r="R363" s="9"/>
    </row>
    <row r="364" spans="1:18" x14ac:dyDescent="0.3">
      <c r="A364" t="str">
        <f>IF(C364="","",COUNTA($C$4:C364))</f>
        <v/>
      </c>
      <c r="B364" s="3"/>
      <c r="J364" s="3"/>
      <c r="K364" s="3"/>
      <c r="L364" s="3"/>
      <c r="P364" s="3"/>
      <c r="Q364" s="3"/>
    </row>
    <row r="365" spans="1:18" x14ac:dyDescent="0.3">
      <c r="A365" s="9" t="str">
        <f>IF(C365="","",COUNTA($C$4:C365))</f>
        <v/>
      </c>
      <c r="B365" s="10"/>
      <c r="C365" s="9"/>
      <c r="D365" s="9"/>
      <c r="E365" s="9"/>
      <c r="F365" s="9"/>
      <c r="G365" s="9"/>
      <c r="H365" s="9"/>
      <c r="I365" s="9"/>
      <c r="J365" s="10"/>
      <c r="K365" s="10"/>
      <c r="L365" s="10"/>
      <c r="M365" s="9"/>
      <c r="N365" s="9"/>
      <c r="O365" s="9"/>
      <c r="P365" s="10"/>
      <c r="Q365" s="10"/>
      <c r="R365" s="9"/>
    </row>
    <row r="366" spans="1:18" x14ac:dyDescent="0.3">
      <c r="A366" t="str">
        <f>IF(C366="","",COUNTA($C$4:C366))</f>
        <v/>
      </c>
      <c r="B366" s="3"/>
      <c r="J366" s="3"/>
      <c r="K366" s="3"/>
      <c r="L366" s="3"/>
      <c r="P366" s="3"/>
      <c r="Q366" s="3"/>
    </row>
    <row r="367" spans="1:18" x14ac:dyDescent="0.3">
      <c r="A367" s="9" t="str">
        <f>IF(C367="","",COUNTA($C$4:C367))</f>
        <v/>
      </c>
      <c r="B367" s="10"/>
      <c r="C367" s="9"/>
      <c r="D367" s="9"/>
      <c r="E367" s="9"/>
      <c r="F367" s="9"/>
      <c r="G367" s="9"/>
      <c r="H367" s="9"/>
      <c r="I367" s="9"/>
      <c r="J367" s="10"/>
      <c r="K367" s="10"/>
      <c r="L367" s="10"/>
      <c r="M367" s="9"/>
      <c r="N367" s="9"/>
      <c r="O367" s="9"/>
      <c r="P367" s="10"/>
      <c r="Q367" s="10"/>
      <c r="R367" s="9"/>
    </row>
    <row r="368" spans="1:18" x14ac:dyDescent="0.3">
      <c r="A368" t="str">
        <f>IF(C368="","",COUNTA($C$4:C368))</f>
        <v/>
      </c>
      <c r="B368" s="3"/>
      <c r="J368" s="3"/>
      <c r="K368" s="3"/>
      <c r="L368" s="3"/>
      <c r="P368" s="3"/>
      <c r="Q368" s="3"/>
    </row>
    <row r="369" spans="1:18" x14ac:dyDescent="0.3">
      <c r="A369" s="9" t="str">
        <f>IF(C369="","",COUNTA($C$4:C369))</f>
        <v/>
      </c>
      <c r="B369" s="10"/>
      <c r="C369" s="9"/>
      <c r="D369" s="9"/>
      <c r="E369" s="9"/>
      <c r="F369" s="9"/>
      <c r="G369" s="9"/>
      <c r="H369" s="9"/>
      <c r="I369" s="9"/>
      <c r="J369" s="10"/>
      <c r="K369" s="10"/>
      <c r="L369" s="10"/>
      <c r="M369" s="9"/>
      <c r="N369" s="9"/>
      <c r="O369" s="9"/>
      <c r="P369" s="10"/>
      <c r="Q369" s="10"/>
      <c r="R369" s="9"/>
    </row>
    <row r="370" spans="1:18" x14ac:dyDescent="0.3">
      <c r="A370" t="str">
        <f>IF(C370="","",COUNTA($C$4:C370))</f>
        <v/>
      </c>
      <c r="B370" s="3"/>
      <c r="J370" s="3"/>
      <c r="K370" s="3"/>
      <c r="L370" s="3"/>
      <c r="P370" s="3"/>
      <c r="Q370" s="3"/>
    </row>
    <row r="371" spans="1:18" x14ac:dyDescent="0.3">
      <c r="A371" s="9" t="str">
        <f>IF(C371="","",COUNTA($C$4:C371))</f>
        <v/>
      </c>
      <c r="B371" s="10"/>
      <c r="C371" s="9"/>
      <c r="D371" s="9"/>
      <c r="E371" s="9"/>
      <c r="F371" s="9"/>
      <c r="G371" s="9"/>
      <c r="H371" s="9"/>
      <c r="I371" s="9"/>
      <c r="J371" s="10"/>
      <c r="K371" s="10"/>
      <c r="L371" s="10"/>
      <c r="M371" s="9"/>
      <c r="N371" s="9"/>
      <c r="O371" s="9"/>
      <c r="P371" s="10"/>
      <c r="Q371" s="10"/>
      <c r="R371" s="9"/>
    </row>
    <row r="372" spans="1:18" x14ac:dyDescent="0.3">
      <c r="A372" t="str">
        <f>IF(C372="","",COUNTA($C$4:C372))</f>
        <v/>
      </c>
      <c r="B372" s="3"/>
      <c r="J372" s="3"/>
      <c r="K372" s="3"/>
      <c r="L372" s="3"/>
      <c r="P372" s="3"/>
      <c r="Q372" s="3"/>
    </row>
    <row r="373" spans="1:18" x14ac:dyDescent="0.3">
      <c r="A373" s="9" t="str">
        <f>IF(C373="","",COUNTA($C$4:C373))</f>
        <v/>
      </c>
      <c r="B373" s="10"/>
      <c r="C373" s="9"/>
      <c r="D373" s="9"/>
      <c r="E373" s="9"/>
      <c r="F373" s="9"/>
      <c r="G373" s="9"/>
      <c r="H373" s="9"/>
      <c r="I373" s="9"/>
      <c r="J373" s="10"/>
      <c r="K373" s="10"/>
      <c r="L373" s="10"/>
      <c r="M373" s="9"/>
      <c r="N373" s="9"/>
      <c r="O373" s="9"/>
      <c r="P373" s="10"/>
      <c r="Q373" s="10"/>
      <c r="R373" s="9"/>
    </row>
    <row r="374" spans="1:18" x14ac:dyDescent="0.3">
      <c r="A374" t="str">
        <f>IF(C374="","",COUNTA($C$4:C374))</f>
        <v/>
      </c>
      <c r="B374" s="3"/>
      <c r="J374" s="3"/>
      <c r="K374" s="3"/>
      <c r="L374" s="3"/>
      <c r="P374" s="3"/>
      <c r="Q374" s="3"/>
    </row>
    <row r="375" spans="1:18" x14ac:dyDescent="0.3">
      <c r="A375" s="9" t="str">
        <f>IF(C375="","",COUNTA($C$4:C375))</f>
        <v/>
      </c>
      <c r="B375" s="10"/>
      <c r="C375" s="9"/>
      <c r="D375" s="9"/>
      <c r="E375" s="9"/>
      <c r="F375" s="9"/>
      <c r="G375" s="9"/>
      <c r="H375" s="9"/>
      <c r="I375" s="9"/>
      <c r="J375" s="10"/>
      <c r="K375" s="10"/>
      <c r="L375" s="10"/>
      <c r="M375" s="9"/>
      <c r="N375" s="9"/>
      <c r="O375" s="9"/>
      <c r="P375" s="10"/>
      <c r="Q375" s="10"/>
      <c r="R375" s="9"/>
    </row>
    <row r="376" spans="1:18" x14ac:dyDescent="0.3">
      <c r="A376" t="str">
        <f>IF(C376="","",COUNTA($C$4:C376))</f>
        <v/>
      </c>
      <c r="B376" s="3"/>
      <c r="J376" s="3"/>
      <c r="K376" s="3"/>
      <c r="L376" s="3"/>
      <c r="P376" s="3"/>
      <c r="Q376" s="3"/>
    </row>
    <row r="377" spans="1:18" x14ac:dyDescent="0.3">
      <c r="A377" s="9" t="str">
        <f>IF(C377="","",COUNTA($C$4:C377))</f>
        <v/>
      </c>
      <c r="B377" s="10"/>
      <c r="C377" s="9"/>
      <c r="D377" s="9"/>
      <c r="E377" s="9"/>
      <c r="F377" s="9"/>
      <c r="G377" s="9"/>
      <c r="H377" s="9"/>
      <c r="I377" s="9"/>
      <c r="J377" s="10"/>
      <c r="K377" s="10"/>
      <c r="L377" s="10"/>
      <c r="M377" s="9"/>
      <c r="N377" s="9"/>
      <c r="O377" s="9"/>
      <c r="P377" s="10"/>
      <c r="Q377" s="10"/>
      <c r="R377" s="9"/>
    </row>
    <row r="378" spans="1:18" x14ac:dyDescent="0.3">
      <c r="A378" t="str">
        <f>IF(C378="","",COUNTA($C$4:C378))</f>
        <v/>
      </c>
      <c r="B378" s="3"/>
      <c r="J378" s="3"/>
      <c r="K378" s="3"/>
      <c r="L378" s="3"/>
      <c r="P378" s="3"/>
      <c r="Q378" s="3"/>
    </row>
    <row r="379" spans="1:18" x14ac:dyDescent="0.3">
      <c r="A379" s="9" t="str">
        <f>IF(C379="","",COUNTA($C$4:C379))</f>
        <v/>
      </c>
      <c r="B379" s="10"/>
      <c r="C379" s="9"/>
      <c r="D379" s="9"/>
      <c r="E379" s="9"/>
      <c r="F379" s="9"/>
      <c r="G379" s="9"/>
      <c r="H379" s="9"/>
      <c r="I379" s="9"/>
      <c r="J379" s="10"/>
      <c r="K379" s="10"/>
      <c r="L379" s="10"/>
      <c r="M379" s="9"/>
      <c r="N379" s="9"/>
      <c r="O379" s="9"/>
      <c r="P379" s="10"/>
      <c r="Q379" s="10"/>
      <c r="R379" s="9"/>
    </row>
    <row r="380" spans="1:18" x14ac:dyDescent="0.3">
      <c r="A380" t="str">
        <f>IF(C380="","",COUNTA($C$4:C380))</f>
        <v/>
      </c>
      <c r="B380" s="3"/>
      <c r="J380" s="3"/>
      <c r="K380" s="3"/>
      <c r="L380" s="3"/>
      <c r="P380" s="3"/>
      <c r="Q380" s="3"/>
    </row>
    <row r="381" spans="1:18" x14ac:dyDescent="0.3">
      <c r="A381" s="9" t="str">
        <f>IF(C381="","",COUNTA($C$4:C381))</f>
        <v/>
      </c>
      <c r="B381" s="10"/>
      <c r="C381" s="9"/>
      <c r="D381" s="9"/>
      <c r="E381" s="9"/>
      <c r="F381" s="9"/>
      <c r="G381" s="9"/>
      <c r="H381" s="9"/>
      <c r="I381" s="9"/>
      <c r="J381" s="10"/>
      <c r="K381" s="10"/>
      <c r="L381" s="10"/>
      <c r="M381" s="9"/>
      <c r="N381" s="9"/>
      <c r="O381" s="9"/>
      <c r="P381" s="10"/>
      <c r="Q381" s="10"/>
      <c r="R381" s="9"/>
    </row>
    <row r="382" spans="1:18" x14ac:dyDescent="0.3">
      <c r="A382" t="str">
        <f>IF(C382="","",COUNTA($C$4:C382))</f>
        <v/>
      </c>
      <c r="B382" s="3"/>
      <c r="J382" s="3"/>
      <c r="K382" s="3"/>
      <c r="L382" s="3"/>
      <c r="P382" s="3"/>
      <c r="Q382" s="3"/>
    </row>
    <row r="383" spans="1:18" x14ac:dyDescent="0.3">
      <c r="A383" s="9" t="str">
        <f>IF(C383="","",COUNTA($C$4:C383))</f>
        <v/>
      </c>
      <c r="B383" s="10"/>
      <c r="C383" s="9"/>
      <c r="D383" s="9"/>
      <c r="E383" s="9"/>
      <c r="F383" s="9"/>
      <c r="G383" s="9"/>
      <c r="H383" s="9"/>
      <c r="I383" s="9"/>
      <c r="J383" s="10"/>
      <c r="K383" s="10"/>
      <c r="L383" s="10"/>
      <c r="M383" s="9"/>
      <c r="N383" s="9"/>
      <c r="O383" s="9"/>
      <c r="P383" s="10"/>
      <c r="Q383" s="10"/>
      <c r="R383" s="9"/>
    </row>
    <row r="384" spans="1:18" x14ac:dyDescent="0.3">
      <c r="A384" t="str">
        <f>IF(C384="","",COUNTA($C$4:C384))</f>
        <v/>
      </c>
      <c r="B384" s="3"/>
      <c r="J384" s="3"/>
      <c r="K384" s="3"/>
      <c r="L384" s="3"/>
      <c r="P384" s="3"/>
      <c r="Q384" s="3"/>
    </row>
    <row r="385" spans="1:18" x14ac:dyDescent="0.3">
      <c r="A385" s="9" t="str">
        <f>IF(C385="","",COUNTA($C$4:C385))</f>
        <v/>
      </c>
      <c r="B385" s="10"/>
      <c r="C385" s="9"/>
      <c r="D385" s="9"/>
      <c r="E385" s="9"/>
      <c r="F385" s="9"/>
      <c r="G385" s="9"/>
      <c r="H385" s="9"/>
      <c r="I385" s="9"/>
      <c r="J385" s="10"/>
      <c r="K385" s="10"/>
      <c r="L385" s="10"/>
      <c r="M385" s="9"/>
      <c r="N385" s="9"/>
      <c r="O385" s="9"/>
      <c r="P385" s="10"/>
      <c r="Q385" s="10"/>
      <c r="R385" s="9"/>
    </row>
    <row r="386" spans="1:18" x14ac:dyDescent="0.3">
      <c r="A386" t="str">
        <f>IF(C386="","",COUNTA($C$4:C386))</f>
        <v/>
      </c>
      <c r="B386" s="3"/>
      <c r="J386" s="3"/>
      <c r="K386" s="3"/>
      <c r="L386" s="3"/>
      <c r="P386" s="3"/>
      <c r="Q386" s="3"/>
    </row>
    <row r="387" spans="1:18" x14ac:dyDescent="0.3">
      <c r="A387" s="9" t="str">
        <f>IF(C387="","",COUNTA($C$4:C387))</f>
        <v/>
      </c>
      <c r="B387" s="10"/>
      <c r="C387" s="9"/>
      <c r="D387" s="9"/>
      <c r="E387" s="9"/>
      <c r="F387" s="9"/>
      <c r="G387" s="9"/>
      <c r="H387" s="9"/>
      <c r="I387" s="9"/>
      <c r="J387" s="10"/>
      <c r="K387" s="10"/>
      <c r="L387" s="10"/>
      <c r="M387" s="9"/>
      <c r="N387" s="9"/>
      <c r="O387" s="9"/>
      <c r="P387" s="10"/>
      <c r="Q387" s="10"/>
      <c r="R387" s="9"/>
    </row>
    <row r="388" spans="1:18" x14ac:dyDescent="0.3">
      <c r="A388" t="str">
        <f>IF(C388="","",COUNTA($C$4:C388))</f>
        <v/>
      </c>
      <c r="B388" s="3"/>
      <c r="J388" s="3"/>
      <c r="K388" s="3"/>
      <c r="L388" s="3"/>
      <c r="P388" s="3"/>
      <c r="Q388" s="3"/>
    </row>
    <row r="389" spans="1:18" x14ac:dyDescent="0.3">
      <c r="A389" s="9" t="str">
        <f>IF(C389="","",COUNTA($C$4:C389))</f>
        <v/>
      </c>
      <c r="B389" s="10"/>
      <c r="C389" s="9"/>
      <c r="D389" s="9"/>
      <c r="E389" s="9"/>
      <c r="F389" s="9"/>
      <c r="G389" s="9"/>
      <c r="H389" s="9"/>
      <c r="I389" s="9"/>
      <c r="J389" s="10"/>
      <c r="K389" s="10"/>
      <c r="L389" s="10"/>
      <c r="M389" s="9"/>
      <c r="N389" s="9"/>
      <c r="O389" s="9"/>
      <c r="P389" s="10"/>
      <c r="Q389" s="10"/>
      <c r="R389" s="9"/>
    </row>
    <row r="390" spans="1:18" x14ac:dyDescent="0.3">
      <c r="A390" t="str">
        <f>IF(C390="","",COUNTA($C$4:C390))</f>
        <v/>
      </c>
      <c r="B390" s="3"/>
      <c r="J390" s="3"/>
      <c r="K390" s="3"/>
      <c r="L390" s="3"/>
      <c r="P390" s="3"/>
      <c r="Q390" s="3"/>
    </row>
    <row r="391" spans="1:18" x14ac:dyDescent="0.3">
      <c r="A391" s="9" t="str">
        <f>IF(C391="","",COUNTA($C$4:C391))</f>
        <v/>
      </c>
      <c r="B391" s="10"/>
      <c r="C391" s="9"/>
      <c r="D391" s="9"/>
      <c r="E391" s="9"/>
      <c r="F391" s="9"/>
      <c r="G391" s="9"/>
      <c r="H391" s="9"/>
      <c r="I391" s="9"/>
      <c r="J391" s="10"/>
      <c r="K391" s="10"/>
      <c r="L391" s="10"/>
      <c r="M391" s="9"/>
      <c r="N391" s="9"/>
      <c r="O391" s="9"/>
      <c r="P391" s="10"/>
      <c r="Q391" s="10"/>
      <c r="R391" s="9"/>
    </row>
    <row r="392" spans="1:18" x14ac:dyDescent="0.3">
      <c r="A392" t="str">
        <f>IF(C392="","",COUNTA($C$4:C392))</f>
        <v/>
      </c>
      <c r="B392" s="3"/>
      <c r="J392" s="3"/>
      <c r="K392" s="3"/>
      <c r="L392" s="3"/>
      <c r="P392" s="3"/>
      <c r="Q392" s="3"/>
    </row>
    <row r="393" spans="1:18" x14ac:dyDescent="0.3">
      <c r="A393" s="9" t="str">
        <f>IF(C393="","",COUNTA($C$4:C393))</f>
        <v/>
      </c>
      <c r="B393" s="10"/>
      <c r="C393" s="9"/>
      <c r="D393" s="9"/>
      <c r="E393" s="9"/>
      <c r="F393" s="9"/>
      <c r="G393" s="9"/>
      <c r="H393" s="9"/>
      <c r="I393" s="9"/>
      <c r="J393" s="10"/>
      <c r="K393" s="10"/>
      <c r="L393" s="10"/>
      <c r="M393" s="9"/>
      <c r="N393" s="9"/>
      <c r="O393" s="9"/>
      <c r="P393" s="10"/>
      <c r="Q393" s="10"/>
      <c r="R393" s="9"/>
    </row>
    <row r="394" spans="1:18" x14ac:dyDescent="0.3">
      <c r="A394" t="str">
        <f>IF(C394="","",COUNTA($C$4:C394))</f>
        <v/>
      </c>
      <c r="B394" s="3"/>
      <c r="J394" s="3"/>
      <c r="K394" s="3"/>
      <c r="L394" s="3"/>
      <c r="P394" s="3"/>
      <c r="Q394" s="3"/>
    </row>
    <row r="395" spans="1:18" x14ac:dyDescent="0.3">
      <c r="A395" s="9" t="str">
        <f>IF(C395="","",COUNTA($C$4:C395))</f>
        <v/>
      </c>
      <c r="B395" s="10"/>
      <c r="C395" s="9"/>
      <c r="D395" s="9"/>
      <c r="E395" s="9"/>
      <c r="F395" s="9"/>
      <c r="G395" s="9"/>
      <c r="H395" s="9"/>
      <c r="I395" s="9"/>
      <c r="J395" s="10"/>
      <c r="K395" s="10"/>
      <c r="L395" s="10"/>
      <c r="M395" s="9"/>
      <c r="N395" s="9"/>
      <c r="O395" s="9"/>
      <c r="P395" s="10"/>
      <c r="Q395" s="10"/>
      <c r="R395" s="9"/>
    </row>
    <row r="396" spans="1:18" x14ac:dyDescent="0.3">
      <c r="A396" t="str">
        <f>IF(C396="","",COUNTA($C$4:C396))</f>
        <v/>
      </c>
      <c r="B396" s="3"/>
      <c r="J396" s="3"/>
      <c r="K396" s="3"/>
      <c r="L396" s="3"/>
      <c r="P396" s="3"/>
      <c r="Q396" s="3"/>
    </row>
    <row r="397" spans="1:18" x14ac:dyDescent="0.3">
      <c r="A397" s="9" t="str">
        <f>IF(C397="","",COUNTA($C$4:C397))</f>
        <v/>
      </c>
      <c r="B397" s="10"/>
      <c r="C397" s="9"/>
      <c r="D397" s="9"/>
      <c r="E397" s="9"/>
      <c r="F397" s="9"/>
      <c r="G397" s="9"/>
      <c r="H397" s="9"/>
      <c r="I397" s="9"/>
      <c r="J397" s="10"/>
      <c r="K397" s="10"/>
      <c r="L397" s="10"/>
      <c r="M397" s="9"/>
      <c r="N397" s="9"/>
      <c r="O397" s="9"/>
      <c r="P397" s="10"/>
      <c r="Q397" s="10"/>
      <c r="R397" s="9"/>
    </row>
    <row r="398" spans="1:18" x14ac:dyDescent="0.3">
      <c r="A398" t="str">
        <f>IF(C398="","",COUNTA($C$4:C398))</f>
        <v/>
      </c>
      <c r="B398" s="3"/>
      <c r="J398" s="3"/>
      <c r="K398" s="3"/>
      <c r="L398" s="3"/>
      <c r="P398" s="3"/>
      <c r="Q398" s="3"/>
    </row>
    <row r="399" spans="1:18" x14ac:dyDescent="0.3">
      <c r="A399" s="9" t="str">
        <f>IF(C399="","",COUNTA($C$4:C399))</f>
        <v/>
      </c>
      <c r="B399" s="10"/>
      <c r="C399" s="9"/>
      <c r="D399" s="9"/>
      <c r="E399" s="9"/>
      <c r="F399" s="9"/>
      <c r="G399" s="9"/>
      <c r="H399" s="9"/>
      <c r="I399" s="9"/>
      <c r="J399" s="10"/>
      <c r="K399" s="10"/>
      <c r="L399" s="10"/>
      <c r="M399" s="9"/>
      <c r="N399" s="9"/>
      <c r="O399" s="9"/>
      <c r="P399" s="10"/>
      <c r="Q399" s="10"/>
      <c r="R399" s="9"/>
    </row>
    <row r="400" spans="1:18" x14ac:dyDescent="0.3">
      <c r="A400" t="str">
        <f>IF(C400="","",COUNTA($C$4:C400))</f>
        <v/>
      </c>
      <c r="B400" s="3"/>
      <c r="J400" s="3"/>
      <c r="K400" s="3"/>
      <c r="L400" s="3"/>
      <c r="P400" s="3"/>
      <c r="Q400" s="3"/>
    </row>
  </sheetData>
  <autoFilter ref="A3:R3" xr:uid="{00000000-0009-0000-0000-000001000000}"/>
  <mergeCells count="2">
    <mergeCell ref="A1:R1"/>
    <mergeCell ref="A2:R2"/>
  </mergeCells>
  <dataValidations count="5">
    <dataValidation type="list" allowBlank="1" sqref="E4:E400" xr:uid="{00000000-0002-0000-0100-000000000000}">
      <formula1>"Phone accessories,Electronics,Fashion,Jewellery,Other"</formula1>
    </dataValidation>
    <dataValidation type="list" allowBlank="1" sqref="F4:F400" xr:uid="{00000000-0002-0000-0100-000002000000}">
      <formula1>"WhatsApp,Instagram,Facebook,TikTok,Snapchat,In-person,Referral"</formula1>
    </dataValidation>
    <dataValidation type="list" allowBlank="1" sqref="H4:H400" xr:uid="{00000000-0002-0000-0100-000004000000}">
      <formula1>"Market walk,Hashtag search,FB Group,Marketplace,Referral,Community event,Other"</formula1>
    </dataValidation>
    <dataValidation type="list" allowBlank="1" sqref="I4:I400" xr:uid="{00000000-0002-0000-0100-000006000000}">
      <formula1>"New,Contacted,Follow-up sent,Replied,Interested,Signed up,Activated,Not interested"</formula1>
    </dataValidation>
    <dataValidation type="list" allowBlank="1" sqref="N4:N400" xr:uid="{00000000-0002-0000-0100-000008000000}">
      <formula1>"Y,N"</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100-000001000000}">
            <xm:f>NOT(ISERROR(SEARCH("Activated",I4)))</xm:f>
            <x14:dxf>
              <font>
                <b/>
                <color rgb="FF1E5A3F"/>
              </font>
              <fill>
                <patternFill patternType="solid">
                  <bgColor rgb="FFDCEEE3"/>
                </patternFill>
              </fill>
            </x14:dxf>
          </x14:cfRule>
          <x14:cfRule type="containsText" priority="2" operator="containsText" id="{00000000-000E-0000-0100-000002000000}">
            <xm:f>NOT(ISERROR(SEARCH("Signed up",I4)))</xm:f>
            <x14:dxf>
              <font>
                <color rgb="FF1E5A3F"/>
              </font>
              <fill>
                <patternFill patternType="solid">
                  <bgColor rgb="FFDCEEE3"/>
                </patternFill>
              </fill>
            </x14:dxf>
          </x14:cfRule>
          <x14:cfRule type="containsText" priority="3" operator="containsText" id="{00000000-000E-0000-0100-000003000000}">
            <xm:f>NOT(ISERROR(SEARCH("Interested",I4)))</xm:f>
            <x14:dxf>
              <font>
                <color rgb="FF8A6410"/>
              </font>
              <fill>
                <patternFill patternType="solid">
                  <bgColor rgb="FFF6E8C8"/>
                </patternFill>
              </fill>
            </x14:dxf>
          </x14:cfRule>
          <x14:cfRule type="containsText" priority="4" operator="containsText" id="{00000000-000E-0000-0100-000004000000}">
            <xm:f>NOT(ISERROR(SEARCH("Replied",I4)))</xm:f>
            <x14:dxf>
              <font>
                <color rgb="FF8A6410"/>
              </font>
              <fill>
                <patternFill patternType="solid">
                  <bgColor rgb="FFF6E8C8"/>
                </patternFill>
              </fill>
            </x14:dxf>
          </x14:cfRule>
          <x14:cfRule type="containsText" priority="5" operator="containsText" id="{00000000-000E-0000-0100-000005000000}">
            <xm:f>NOT(ISERROR(SEARCH("Not interested",I4)))</xm:f>
            <x14:dxf>
              <font>
                <color rgb="FF8F2E24"/>
              </font>
              <fill>
                <patternFill patternType="solid">
                  <bgColor rgb="FFF6DAD6"/>
                </patternFill>
              </fill>
            </x14:dxf>
          </x14:cfRule>
          <xm:sqref>I4:I400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5B"/>
  </sheetPr>
  <dimension ref="A1:I9"/>
  <sheetViews>
    <sheetView workbookViewId="0">
      <pane ySplit="4" topLeftCell="A5" activePane="bottomLeft" state="frozen"/>
      <selection pane="bottomLeft" activeCell="I5" sqref="I5"/>
    </sheetView>
  </sheetViews>
  <sheetFormatPr defaultRowHeight="14.4" x14ac:dyDescent="0.3"/>
  <cols>
    <col min="1" max="1" width="10" customWidth="1"/>
    <col min="2" max="2" width="24" customWidth="1"/>
    <col min="3" max="3" width="15" customWidth="1"/>
    <col min="4" max="6" width="12" customWidth="1"/>
    <col min="7" max="7" width="20" customWidth="1"/>
    <col min="8" max="9" width="14" customWidth="1"/>
  </cols>
  <sheetData>
    <row r="1" spans="1:9" ht="28.05" customHeight="1" x14ac:dyDescent="0.45">
      <c r="A1" s="17" t="s">
        <v>59</v>
      </c>
      <c r="B1" s="17"/>
      <c r="C1" s="17"/>
      <c r="D1" s="17"/>
      <c r="E1" s="17"/>
      <c r="F1" s="17"/>
      <c r="G1" s="17"/>
      <c r="H1" s="17"/>
      <c r="I1" s="17"/>
    </row>
    <row r="2" spans="1:9" ht="18" customHeight="1" x14ac:dyDescent="0.3">
      <c r="A2" s="18" t="s">
        <v>60</v>
      </c>
      <c r="B2" s="18"/>
      <c r="C2" s="18"/>
      <c r="D2" s="18"/>
      <c r="E2" s="18"/>
      <c r="F2" s="18"/>
      <c r="G2" s="18"/>
      <c r="H2" s="18"/>
      <c r="I2" s="18"/>
    </row>
    <row r="4" spans="1:9" ht="25.95" customHeight="1" x14ac:dyDescent="0.3">
      <c r="A4" s="8" t="s">
        <v>61</v>
      </c>
      <c r="B4" s="8" t="s">
        <v>62</v>
      </c>
      <c r="C4" s="8" t="s">
        <v>63</v>
      </c>
      <c r="D4" s="8" t="s">
        <v>64</v>
      </c>
      <c r="E4" s="8" t="s">
        <v>10</v>
      </c>
      <c r="F4" s="8" t="s">
        <v>21</v>
      </c>
      <c r="G4" s="8" t="s">
        <v>65</v>
      </c>
      <c r="H4" s="8" t="s">
        <v>66</v>
      </c>
      <c r="I4" s="8" t="s">
        <v>67</v>
      </c>
    </row>
    <row r="5" spans="1:9" x14ac:dyDescent="0.3">
      <c r="A5" t="s">
        <v>68</v>
      </c>
      <c r="B5" t="s">
        <v>69</v>
      </c>
      <c r="C5" t="str">
        <f>TEXT(Dashboard!$B$4+0,"dd mmm")&amp;" – "&amp;TEXT(Dashboard!$B$4+6,"dd mmm")</f>
        <v>25 Aug – 31 Aug</v>
      </c>
      <c r="D5">
        <f>COUNTIFS(Contacts!$B$4:$B$400,"&gt;="&amp;(Dashboard!$B$4+0),Contacts!$B$4:$B$400,"&lt;="&amp;(Dashboard!$B$4+6))</f>
        <v>0</v>
      </c>
      <c r="E5">
        <f>COUNTIFS(Contacts!$J$4:$J$400,"&gt;="&amp;(Dashboard!$B$4+0),Contacts!$J$4:$J$400,"&lt;="&amp;(Dashboard!$B$4+6))</f>
        <v>0</v>
      </c>
      <c r="F5">
        <f>COUNTIFS(Contacts!$K$4:$K$400,"&gt;="&amp;(Dashboard!$B$4+0),Contacts!$K$4:$K$400,"&lt;="&amp;(Dashboard!$B$4+6))</f>
        <v>0</v>
      </c>
      <c r="G5">
        <f>COUNTIFS(Contacts!$L$4:$L$400,"&lt;="&amp;(Dashboard!$B$4+6))</f>
        <v>0</v>
      </c>
      <c r="H5">
        <v>2.5</v>
      </c>
      <c r="I5" s="1" t="str">
        <f>IF(G5&gt;=H5,"On pace","Behind")</f>
        <v>Behind</v>
      </c>
    </row>
    <row r="6" spans="1:9" x14ac:dyDescent="0.3">
      <c r="A6" s="9" t="s">
        <v>70</v>
      </c>
      <c r="B6" s="9" t="s">
        <v>71</v>
      </c>
      <c r="C6" s="9" t="str">
        <f>TEXT(Dashboard!$B$4+7,"dd mmm")&amp;" – "&amp;TEXT(Dashboard!$B$4+13,"dd mmm")</f>
        <v>01 Sept – 07 Sept</v>
      </c>
      <c r="D6" s="9">
        <f>COUNTIFS(Contacts!$B$4:$B$400,"&gt;="&amp;(Dashboard!$B$4+7),Contacts!$B$4:$B$400,"&lt;="&amp;(Dashboard!$B$4+13))</f>
        <v>0</v>
      </c>
      <c r="E6" s="9">
        <f>COUNTIFS(Contacts!$J$4:$J$400,"&gt;="&amp;(Dashboard!$B$4+7),Contacts!$J$4:$J$400,"&lt;="&amp;(Dashboard!$B$4+13))</f>
        <v>0</v>
      </c>
      <c r="F6" s="9">
        <f>COUNTIFS(Contacts!$K$4:$K$400,"&gt;="&amp;(Dashboard!$B$4+7),Contacts!$K$4:$K$400,"&lt;="&amp;(Dashboard!$B$4+13))</f>
        <v>0</v>
      </c>
      <c r="G6" s="9">
        <f>COUNTIFS(Contacts!$L$4:$L$400,"&lt;="&amp;(Dashboard!$B$4+13))</f>
        <v>0</v>
      </c>
      <c r="H6" s="9">
        <v>5</v>
      </c>
      <c r="I6" s="11" t="str">
        <f>IF(G6&gt;=H6,"On pace","Behind")</f>
        <v>Behind</v>
      </c>
    </row>
    <row r="7" spans="1:9" x14ac:dyDescent="0.3">
      <c r="A7" t="s">
        <v>72</v>
      </c>
      <c r="B7" t="s">
        <v>73</v>
      </c>
      <c r="C7" t="str">
        <f>TEXT(Dashboard!$B$4+14,"dd mmm")&amp;" – "&amp;TEXT(Dashboard!$B$4+20,"dd mmm")</f>
        <v>08 Sept – 14 Sept</v>
      </c>
      <c r="D7">
        <f>COUNTIFS(Contacts!$B$4:$B$400,"&gt;="&amp;(Dashboard!$B$4+14),Contacts!$B$4:$B$400,"&lt;="&amp;(Dashboard!$B$4+20))</f>
        <v>0</v>
      </c>
      <c r="E7">
        <f>COUNTIFS(Contacts!$J$4:$J$400,"&gt;="&amp;(Dashboard!$B$4+14),Contacts!$J$4:$J$400,"&lt;="&amp;(Dashboard!$B$4+20))</f>
        <v>0</v>
      </c>
      <c r="F7">
        <f>COUNTIFS(Contacts!$K$4:$K$400,"&gt;="&amp;(Dashboard!$B$4+14),Contacts!$K$4:$K$400,"&lt;="&amp;(Dashboard!$B$4+20))</f>
        <v>0</v>
      </c>
      <c r="G7">
        <f>COUNTIFS(Contacts!$L$4:$L$400,"&lt;="&amp;(Dashboard!$B$4+20))</f>
        <v>0</v>
      </c>
      <c r="H7">
        <v>7.5</v>
      </c>
      <c r="I7" s="1" t="str">
        <f>IF(G7&gt;=H7,"On pace","Behind")</f>
        <v>Behind</v>
      </c>
    </row>
    <row r="8" spans="1:9" x14ac:dyDescent="0.3">
      <c r="A8" s="9" t="s">
        <v>74</v>
      </c>
      <c r="B8" s="9" t="s">
        <v>75</v>
      </c>
      <c r="C8" s="9" t="str">
        <f>TEXT(Dashboard!$B$4+21,"dd mmm")&amp;" – "&amp;TEXT(Dashboard!$B$4+27,"dd mmm")</f>
        <v>15 Sept – 21 Sept</v>
      </c>
      <c r="D8" s="9">
        <f>COUNTIFS(Contacts!$B$4:$B$400,"&gt;="&amp;(Dashboard!$B$4+21),Contacts!$B$4:$B$400,"&lt;="&amp;(Dashboard!$B$4+27))</f>
        <v>0</v>
      </c>
      <c r="E8" s="9">
        <f>COUNTIFS(Contacts!$J$4:$J$400,"&gt;="&amp;(Dashboard!$B$4+21),Contacts!$J$4:$J$400,"&lt;="&amp;(Dashboard!$B$4+27))</f>
        <v>0</v>
      </c>
      <c r="F8" s="9">
        <f>COUNTIFS(Contacts!$K$4:$K$400,"&gt;="&amp;(Dashboard!$B$4+21),Contacts!$K$4:$K$400,"&lt;="&amp;(Dashboard!$B$4+27))</f>
        <v>0</v>
      </c>
      <c r="G8" s="9">
        <f>COUNTIFS(Contacts!$L$4:$L$400,"&lt;="&amp;(Dashboard!$B$4+27))</f>
        <v>0</v>
      </c>
      <c r="H8" s="9">
        <v>10</v>
      </c>
      <c r="I8" s="11" t="str">
        <f>IF(G8&gt;=H8,"On pace","Behind")</f>
        <v>Behind</v>
      </c>
    </row>
    <row r="9" spans="1:9" s="1" customFormat="1" x14ac:dyDescent="0.3">
      <c r="A9" s="12" t="s">
        <v>76</v>
      </c>
      <c r="D9" s="12">
        <f>SUM(D5:D8)</f>
        <v>0</v>
      </c>
      <c r="E9" s="12">
        <f>SUM(E5:E8)</f>
        <v>0</v>
      </c>
      <c r="F9" s="12">
        <f>SUM(F5:F8)</f>
        <v>0</v>
      </c>
      <c r="G9" s="12">
        <f>G8</f>
        <v>0</v>
      </c>
    </row>
  </sheetData>
  <mergeCells count="2">
    <mergeCell ref="A1:I1"/>
    <mergeCell ref="A2:I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443B"/>
  </sheetPr>
  <dimension ref="A1:H13"/>
  <sheetViews>
    <sheetView workbookViewId="0">
      <selection sqref="A1:H1"/>
    </sheetView>
  </sheetViews>
  <sheetFormatPr defaultRowHeight="14.4" x14ac:dyDescent="0.3"/>
  <cols>
    <col min="1" max="1" width="16" customWidth="1"/>
    <col min="2" max="5" width="12" customWidth="1"/>
    <col min="6" max="7" width="14" customWidth="1"/>
    <col min="8" max="8" width="16" customWidth="1"/>
  </cols>
  <sheetData>
    <row r="1" spans="1:8" ht="22.35" customHeight="1" x14ac:dyDescent="0.45">
      <c r="A1" s="17" t="s">
        <v>77</v>
      </c>
      <c r="B1" s="17"/>
      <c r="C1" s="17"/>
      <c r="D1" s="17"/>
      <c r="E1" s="17"/>
      <c r="F1" s="17"/>
      <c r="G1" s="17"/>
      <c r="H1" s="17"/>
    </row>
    <row r="2" spans="1:8" ht="14.4" customHeight="1" x14ac:dyDescent="0.3">
      <c r="A2" s="18" t="s">
        <v>78</v>
      </c>
      <c r="B2" s="18"/>
      <c r="C2" s="18"/>
      <c r="D2" s="18"/>
      <c r="E2" s="18"/>
      <c r="F2" s="18"/>
      <c r="G2" s="18"/>
      <c r="H2" s="18"/>
    </row>
    <row r="4" spans="1:8" ht="20.85" customHeight="1" x14ac:dyDescent="0.3">
      <c r="A4" s="8" t="s">
        <v>31</v>
      </c>
      <c r="B4" s="8" t="s">
        <v>24</v>
      </c>
      <c r="C4" s="8" t="s">
        <v>10</v>
      </c>
      <c r="D4" s="8" t="s">
        <v>21</v>
      </c>
      <c r="E4" s="8" t="s">
        <v>22</v>
      </c>
      <c r="F4" s="8" t="s">
        <v>79</v>
      </c>
      <c r="G4" s="8" t="s">
        <v>80</v>
      </c>
      <c r="H4" s="8" t="s">
        <v>81</v>
      </c>
    </row>
    <row r="5" spans="1:8" x14ac:dyDescent="0.3">
      <c r="A5" t="s">
        <v>82</v>
      </c>
      <c r="B5">
        <f>COUNTIF(Contacts!$F$4:$F$400,"WhatsApp")</f>
        <v>0</v>
      </c>
      <c r="C5">
        <f>SUMPRODUCT((Contacts!$F$4:$F$400="WhatsApp")*(Contacts!$J$4:$J$400&lt;&gt;""))</f>
        <v>0</v>
      </c>
      <c r="D5">
        <f>SUMPRODUCT((Contacts!$F$4:$F$400="WhatsApp")*(Contacts!$K$4:$K$400&lt;&gt;""))</f>
        <v>0</v>
      </c>
      <c r="E5">
        <f>SUMPRODUCT((Contacts!$F$4:$F$400="WhatsApp")*(Contacts!$L$4:$L$400&lt;&gt;""))</f>
        <v>0</v>
      </c>
      <c r="F5" s="13">
        <f t="shared" ref="F5:F11" si="0">IFERROR(C5/B5,0)</f>
        <v>0</v>
      </c>
      <c r="G5" s="13">
        <f t="shared" ref="G5:G11" si="1">IFERROR(D5/B5,0)</f>
        <v>0</v>
      </c>
      <c r="H5" s="13">
        <f t="shared" ref="H5:H11" si="2">IFERROR(E5/B5,0)</f>
        <v>0</v>
      </c>
    </row>
    <row r="6" spans="1:8" x14ac:dyDescent="0.3">
      <c r="A6" s="9" t="s">
        <v>55</v>
      </c>
      <c r="B6" s="9">
        <f>COUNTIF(Contacts!$F$4:$F$400,"Instagram")</f>
        <v>1</v>
      </c>
      <c r="C6" s="9">
        <f>SUMPRODUCT((Contacts!$F$4:$F$400="Instagram")*(Contacts!$J$4:$J$400&lt;&gt;""))</f>
        <v>1</v>
      </c>
      <c r="D6" s="9">
        <f>SUMPRODUCT((Contacts!$F$4:$F$400="Instagram")*(Contacts!$K$4:$K$400&lt;&gt;""))</f>
        <v>0</v>
      </c>
      <c r="E6" s="9">
        <f>SUMPRODUCT((Contacts!$F$4:$F$400="Instagram")*(Contacts!$L$4:$L$400&lt;&gt;""))</f>
        <v>0</v>
      </c>
      <c r="F6" s="14">
        <f t="shared" si="0"/>
        <v>1</v>
      </c>
      <c r="G6" s="14">
        <f t="shared" si="1"/>
        <v>0</v>
      </c>
      <c r="H6" s="14">
        <f t="shared" si="2"/>
        <v>0</v>
      </c>
    </row>
    <row r="7" spans="1:8" x14ac:dyDescent="0.3">
      <c r="A7" t="s">
        <v>83</v>
      </c>
      <c r="B7">
        <f>COUNTIF(Contacts!$F$4:$F$400,"Facebook")</f>
        <v>0</v>
      </c>
      <c r="C7">
        <f>SUMPRODUCT((Contacts!$F$4:$F$400="Facebook")*(Contacts!$J$4:$J$400&lt;&gt;""))</f>
        <v>0</v>
      </c>
      <c r="D7">
        <f>SUMPRODUCT((Contacts!$F$4:$F$400="Facebook")*(Contacts!$K$4:$K$400&lt;&gt;""))</f>
        <v>0</v>
      </c>
      <c r="E7">
        <f>SUMPRODUCT((Contacts!$F$4:$F$400="Facebook")*(Contacts!$L$4:$L$400&lt;&gt;""))</f>
        <v>0</v>
      </c>
      <c r="F7" s="13">
        <f t="shared" si="0"/>
        <v>0</v>
      </c>
      <c r="G7" s="13">
        <f t="shared" si="1"/>
        <v>0</v>
      </c>
      <c r="H7" s="13">
        <f t="shared" si="2"/>
        <v>0</v>
      </c>
    </row>
    <row r="8" spans="1:8" x14ac:dyDescent="0.3">
      <c r="A8" s="9" t="s">
        <v>84</v>
      </c>
      <c r="B8" s="9">
        <f>COUNTIF(Contacts!$F$4:$F$400,"TikTok")</f>
        <v>0</v>
      </c>
      <c r="C8" s="9">
        <f>SUMPRODUCT((Contacts!$F$4:$F$400="TikTok")*(Contacts!$J$4:$J$400&lt;&gt;""))</f>
        <v>0</v>
      </c>
      <c r="D8" s="9">
        <f>SUMPRODUCT((Contacts!$F$4:$F$400="TikTok")*(Contacts!$K$4:$K$400&lt;&gt;""))</f>
        <v>0</v>
      </c>
      <c r="E8" s="9">
        <f>SUMPRODUCT((Contacts!$F$4:$F$400="TikTok")*(Contacts!$L$4:$L$400&lt;&gt;""))</f>
        <v>0</v>
      </c>
      <c r="F8" s="14">
        <f t="shared" si="0"/>
        <v>0</v>
      </c>
      <c r="G8" s="14">
        <f t="shared" si="1"/>
        <v>0</v>
      </c>
      <c r="H8" s="14">
        <f t="shared" si="2"/>
        <v>0</v>
      </c>
    </row>
    <row r="9" spans="1:8" x14ac:dyDescent="0.3">
      <c r="A9" t="s">
        <v>85</v>
      </c>
      <c r="B9">
        <f>COUNTIF(Contacts!$F$4:$F$400,"Snapchat")</f>
        <v>0</v>
      </c>
      <c r="C9">
        <f>SUMPRODUCT((Contacts!$F$4:$F$400="Snapchat")*(Contacts!$J$4:$J$400&lt;&gt;""))</f>
        <v>0</v>
      </c>
      <c r="D9">
        <f>SUMPRODUCT((Contacts!$F$4:$F$400="Snapchat")*(Contacts!$K$4:$K$400&lt;&gt;""))</f>
        <v>0</v>
      </c>
      <c r="E9">
        <f>SUMPRODUCT((Contacts!$F$4:$F$400="Snapchat")*(Contacts!$L$4:$L$400&lt;&gt;""))</f>
        <v>0</v>
      </c>
      <c r="F9" s="13">
        <f t="shared" si="0"/>
        <v>0</v>
      </c>
      <c r="G9" s="13">
        <f t="shared" si="1"/>
        <v>0</v>
      </c>
      <c r="H9" s="13">
        <f t="shared" si="2"/>
        <v>0</v>
      </c>
    </row>
    <row r="10" spans="1:8" x14ac:dyDescent="0.3">
      <c r="A10" s="9" t="s">
        <v>46</v>
      </c>
      <c r="B10" s="9">
        <f>COUNTIF(Contacts!$F$4:$F$400,"In-person")</f>
        <v>1</v>
      </c>
      <c r="C10" s="9">
        <f>SUMPRODUCT((Contacts!$F$4:$F$400="In-person")*(Contacts!$J$4:$J$400&lt;&gt;""))</f>
        <v>0</v>
      </c>
      <c r="D10" s="9">
        <f>SUMPRODUCT((Contacts!$F$4:$F$400="In-person")*(Contacts!$K$4:$K$400&lt;&gt;""))</f>
        <v>0</v>
      </c>
      <c r="E10" s="9">
        <f>SUMPRODUCT((Contacts!$F$4:$F$400="In-person")*(Contacts!$L$4:$L$400&lt;&gt;""))</f>
        <v>0</v>
      </c>
      <c r="F10" s="14">
        <f t="shared" si="0"/>
        <v>0</v>
      </c>
      <c r="G10" s="14">
        <f t="shared" si="1"/>
        <v>0</v>
      </c>
      <c r="H10" s="14">
        <f t="shared" si="2"/>
        <v>0</v>
      </c>
    </row>
    <row r="11" spans="1:8" x14ac:dyDescent="0.3">
      <c r="A11" t="s">
        <v>86</v>
      </c>
      <c r="B11">
        <f>COUNTIF(Contacts!$F$4:$F$400,"Referral")</f>
        <v>0</v>
      </c>
      <c r="C11">
        <f>SUMPRODUCT((Contacts!$F$4:$F$400="Referral")*(Contacts!$J$4:$J$400&lt;&gt;""))</f>
        <v>0</v>
      </c>
      <c r="D11">
        <f>SUMPRODUCT((Contacts!$F$4:$F$400="Referral")*(Contacts!$K$4:$K$400&lt;&gt;""))</f>
        <v>0</v>
      </c>
      <c r="E11">
        <f>SUMPRODUCT((Contacts!$F$4:$F$400="Referral")*(Contacts!$L$4:$L$400&lt;&gt;""))</f>
        <v>0</v>
      </c>
      <c r="F11" s="13">
        <f t="shared" si="0"/>
        <v>0</v>
      </c>
      <c r="G11" s="13">
        <f t="shared" si="1"/>
        <v>0</v>
      </c>
      <c r="H11" s="13">
        <f t="shared" si="2"/>
        <v>0</v>
      </c>
    </row>
    <row r="13" spans="1:8" s="1" customFormat="1" x14ac:dyDescent="0.3">
      <c r="A13" s="12" t="s">
        <v>76</v>
      </c>
      <c r="B13" s="12">
        <f>SUM(B5:B11)</f>
        <v>2</v>
      </c>
      <c r="C13" s="12">
        <f>SUM(C5:C11)</f>
        <v>1</v>
      </c>
      <c r="D13" s="12">
        <f>SUM(D5:D11)</f>
        <v>0</v>
      </c>
      <c r="E13" s="12">
        <f>SUM(E5:E11)</f>
        <v>0</v>
      </c>
    </row>
  </sheetData>
  <mergeCells count="2">
    <mergeCell ref="A1:H1"/>
    <mergeCell ref="A2:H2"/>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66990"/>
  </sheetPr>
  <dimension ref="A1:C16"/>
  <sheetViews>
    <sheetView workbookViewId="0">
      <pane ySplit="4" topLeftCell="A11" activePane="bottomLeft" state="frozen"/>
      <selection pane="bottomLeft" sqref="A1:C1"/>
    </sheetView>
  </sheetViews>
  <sheetFormatPr defaultRowHeight="14.4" x14ac:dyDescent="0.3"/>
  <cols>
    <col min="1" max="1" width="14" customWidth="1"/>
    <col min="2" max="2" width="26" customWidth="1"/>
    <col min="3" max="3" width="90" customWidth="1"/>
  </cols>
  <sheetData>
    <row r="1" spans="1:3" ht="28.05" customHeight="1" x14ac:dyDescent="0.45">
      <c r="A1" s="17" t="s">
        <v>87</v>
      </c>
      <c r="B1" s="17"/>
      <c r="C1" s="17"/>
    </row>
    <row r="2" spans="1:3" ht="18" customHeight="1" x14ac:dyDescent="0.3">
      <c r="A2" s="18" t="s">
        <v>88</v>
      </c>
      <c r="B2" s="18"/>
      <c r="C2" s="18"/>
    </row>
    <row r="4" spans="1:3" ht="25.95" customHeight="1" x14ac:dyDescent="0.3">
      <c r="A4" s="8" t="s">
        <v>31</v>
      </c>
      <c r="B4" s="8" t="s">
        <v>89</v>
      </c>
      <c r="C4" s="8" t="s">
        <v>90</v>
      </c>
    </row>
    <row r="5" spans="1:3" s="15" customFormat="1" ht="72" x14ac:dyDescent="0.3">
      <c r="A5" s="15" t="s">
        <v>82</v>
      </c>
      <c r="B5" s="15" t="s">
        <v>91</v>
      </c>
      <c r="C5" s="15" t="s">
        <v>92</v>
      </c>
    </row>
    <row r="6" spans="1:3" s="15" customFormat="1" ht="28.8" x14ac:dyDescent="0.3">
      <c r="A6" s="16" t="s">
        <v>82</v>
      </c>
      <c r="B6" s="16" t="s">
        <v>93</v>
      </c>
      <c r="C6" s="16" t="s">
        <v>94</v>
      </c>
    </row>
    <row r="7" spans="1:3" s="15" customFormat="1" ht="28.8" x14ac:dyDescent="0.3">
      <c r="A7" s="15" t="s">
        <v>82</v>
      </c>
      <c r="B7" s="15" t="s">
        <v>95</v>
      </c>
      <c r="C7" s="15" t="s">
        <v>96</v>
      </c>
    </row>
    <row r="8" spans="1:3" s="15" customFormat="1" ht="28.8" x14ac:dyDescent="0.3">
      <c r="A8" s="16" t="s">
        <v>55</v>
      </c>
      <c r="B8" s="16" t="s">
        <v>97</v>
      </c>
      <c r="C8" s="16" t="s">
        <v>98</v>
      </c>
    </row>
    <row r="9" spans="1:3" s="15" customFormat="1" ht="57.6" x14ac:dyDescent="0.3">
      <c r="A9" s="15" t="s">
        <v>55</v>
      </c>
      <c r="B9" s="15" t="s">
        <v>99</v>
      </c>
      <c r="C9" s="15" t="s">
        <v>100</v>
      </c>
    </row>
    <row r="10" spans="1:3" s="15" customFormat="1" ht="28.8" x14ac:dyDescent="0.3">
      <c r="A10" s="16" t="s">
        <v>55</v>
      </c>
      <c r="B10" s="16" t="s">
        <v>101</v>
      </c>
      <c r="C10" s="16" t="s">
        <v>102</v>
      </c>
    </row>
    <row r="11" spans="1:3" s="15" customFormat="1" ht="43.2" x14ac:dyDescent="0.3">
      <c r="A11" s="15" t="s">
        <v>83</v>
      </c>
      <c r="B11" s="15" t="s">
        <v>103</v>
      </c>
      <c r="C11" s="15" t="s">
        <v>104</v>
      </c>
    </row>
    <row r="12" spans="1:3" s="15" customFormat="1" ht="57.6" x14ac:dyDescent="0.3">
      <c r="A12" s="16" t="s">
        <v>83</v>
      </c>
      <c r="B12" s="16" t="s">
        <v>105</v>
      </c>
      <c r="C12" s="16" t="s">
        <v>106</v>
      </c>
    </row>
    <row r="13" spans="1:3" s="15" customFormat="1" ht="28.8" x14ac:dyDescent="0.3">
      <c r="A13" s="15" t="s">
        <v>84</v>
      </c>
      <c r="B13" s="15" t="s">
        <v>107</v>
      </c>
      <c r="C13" s="15" t="s">
        <v>108</v>
      </c>
    </row>
    <row r="14" spans="1:3" s="15" customFormat="1" ht="43.2" x14ac:dyDescent="0.3">
      <c r="A14" s="16" t="s">
        <v>84</v>
      </c>
      <c r="B14" s="16" t="s">
        <v>109</v>
      </c>
      <c r="C14" s="16" t="s">
        <v>110</v>
      </c>
    </row>
    <row r="15" spans="1:3" s="15" customFormat="1" ht="43.2" x14ac:dyDescent="0.3">
      <c r="A15" s="15" t="s">
        <v>85</v>
      </c>
      <c r="B15" s="15" t="s">
        <v>111</v>
      </c>
      <c r="C15" s="15" t="s">
        <v>112</v>
      </c>
    </row>
    <row r="16" spans="1:3" s="15" customFormat="1" ht="28.8" x14ac:dyDescent="0.3">
      <c r="A16" s="16" t="s">
        <v>85</v>
      </c>
      <c r="B16" s="16" t="s">
        <v>101</v>
      </c>
      <c r="C16" s="16" t="s">
        <v>113</v>
      </c>
    </row>
  </sheetData>
  <mergeCells count="2">
    <mergeCell ref="A1:C1"/>
    <mergeCell ref="A2:C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Contacts</vt:lpstr>
      <vt:lpstr>Weekly Tracker</vt:lpstr>
      <vt:lpstr>Channel Performance</vt:lpstr>
      <vt:lpstr>Scripts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2026-08-24T19:59:09Z</dcterms:created>
  <dcterms:modified xsi:type="dcterms:W3CDTF">2026-08-25T20:01:19Z</dcterms:modified>
  <cp:category/>
</cp:coreProperties>
</file>